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AND UP\Desktop\HQ\본사 물류마감 자료\26_05\"/>
    </mc:Choice>
  </mc:AlternateContent>
  <xr:revisionPtr revIDLastSave="0" documentId="13_ncr:1_{7E99D747-4CF7-4D52-A7BF-9A7B4FEE2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_MASTER" sheetId="1" r:id="rId1"/>
    <sheet name="README" sheetId="2" r:id="rId2"/>
    <sheet name="REPORT_TEMPLA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0" i="3" l="1"/>
  <c r="K200" i="3" s="1"/>
  <c r="L200" i="3" s="1"/>
  <c r="M200" i="3" s="1"/>
  <c r="J199" i="3"/>
  <c r="K199" i="3" s="1"/>
  <c r="L199" i="3" s="1"/>
  <c r="M199" i="3" s="1"/>
  <c r="J198" i="3"/>
  <c r="K198" i="3" s="1"/>
  <c r="L198" i="3" s="1"/>
  <c r="M198" i="3" s="1"/>
  <c r="J197" i="3"/>
  <c r="K197" i="3" s="1"/>
  <c r="L197" i="3" s="1"/>
  <c r="M197" i="3" s="1"/>
  <c r="J196" i="3"/>
  <c r="K196" i="3" s="1"/>
  <c r="L196" i="3" s="1"/>
  <c r="M196" i="3" s="1"/>
  <c r="J195" i="3"/>
  <c r="K195" i="3" s="1"/>
  <c r="L195" i="3" s="1"/>
  <c r="M195" i="3" s="1"/>
  <c r="J194" i="3"/>
  <c r="K194" i="3" s="1"/>
  <c r="L194" i="3" s="1"/>
  <c r="M194" i="3" s="1"/>
  <c r="J193" i="3"/>
  <c r="K193" i="3" s="1"/>
  <c r="L193" i="3" s="1"/>
  <c r="M193" i="3" s="1"/>
  <c r="J192" i="3"/>
  <c r="K192" i="3" s="1"/>
  <c r="L192" i="3" s="1"/>
  <c r="M192" i="3" s="1"/>
  <c r="J191" i="3"/>
  <c r="K191" i="3" s="1"/>
  <c r="L191" i="3" s="1"/>
  <c r="M191" i="3" s="1"/>
  <c r="J190" i="3"/>
  <c r="K190" i="3" s="1"/>
  <c r="L190" i="3" s="1"/>
  <c r="M190" i="3" s="1"/>
  <c r="J189" i="3"/>
  <c r="K189" i="3" s="1"/>
  <c r="L189" i="3" s="1"/>
  <c r="M189" i="3" s="1"/>
  <c r="J188" i="3"/>
  <c r="K188" i="3" s="1"/>
  <c r="L188" i="3" s="1"/>
  <c r="M188" i="3" s="1"/>
  <c r="J187" i="3"/>
  <c r="K187" i="3" s="1"/>
  <c r="L187" i="3" s="1"/>
  <c r="M187" i="3" s="1"/>
  <c r="J186" i="3"/>
  <c r="K186" i="3" s="1"/>
  <c r="L186" i="3" s="1"/>
  <c r="M186" i="3" s="1"/>
  <c r="J185" i="3"/>
  <c r="K185" i="3" s="1"/>
  <c r="L185" i="3" s="1"/>
  <c r="M185" i="3" s="1"/>
  <c r="J184" i="3"/>
  <c r="K184" i="3" s="1"/>
  <c r="L184" i="3" s="1"/>
  <c r="M184" i="3" s="1"/>
  <c r="J183" i="3"/>
  <c r="K183" i="3" s="1"/>
  <c r="L183" i="3" s="1"/>
  <c r="M183" i="3" s="1"/>
  <c r="J182" i="3"/>
  <c r="K182" i="3" s="1"/>
  <c r="L182" i="3" s="1"/>
  <c r="M182" i="3" s="1"/>
  <c r="J181" i="3"/>
  <c r="K181" i="3" s="1"/>
  <c r="L181" i="3" s="1"/>
  <c r="M181" i="3" s="1"/>
  <c r="J180" i="3"/>
  <c r="K180" i="3" s="1"/>
  <c r="L180" i="3" s="1"/>
  <c r="M180" i="3" s="1"/>
  <c r="J179" i="3"/>
  <c r="K179" i="3" s="1"/>
  <c r="L179" i="3" s="1"/>
  <c r="M179" i="3" s="1"/>
  <c r="J178" i="3"/>
  <c r="K178" i="3" s="1"/>
  <c r="L178" i="3" s="1"/>
  <c r="M178" i="3" s="1"/>
  <c r="J177" i="3"/>
  <c r="K177" i="3" s="1"/>
  <c r="L177" i="3" s="1"/>
  <c r="M177" i="3" s="1"/>
  <c r="J176" i="3"/>
  <c r="K176" i="3" s="1"/>
  <c r="L176" i="3" s="1"/>
  <c r="M176" i="3" s="1"/>
  <c r="J175" i="3"/>
  <c r="K175" i="3" s="1"/>
  <c r="L175" i="3" s="1"/>
  <c r="M175" i="3" s="1"/>
  <c r="J174" i="3"/>
  <c r="K174" i="3" s="1"/>
  <c r="L174" i="3" s="1"/>
  <c r="M174" i="3" s="1"/>
  <c r="J173" i="3"/>
  <c r="K173" i="3" s="1"/>
  <c r="L173" i="3" s="1"/>
  <c r="M173" i="3" s="1"/>
  <c r="J172" i="3"/>
  <c r="K172" i="3" s="1"/>
  <c r="L172" i="3" s="1"/>
  <c r="M172" i="3" s="1"/>
  <c r="J171" i="3"/>
  <c r="K171" i="3" s="1"/>
  <c r="L171" i="3" s="1"/>
  <c r="M171" i="3" s="1"/>
  <c r="J170" i="3"/>
  <c r="K170" i="3" s="1"/>
  <c r="L170" i="3" s="1"/>
  <c r="M170" i="3" s="1"/>
  <c r="J169" i="3"/>
  <c r="K169" i="3" s="1"/>
  <c r="L169" i="3" s="1"/>
  <c r="M169" i="3" s="1"/>
  <c r="J168" i="3"/>
  <c r="K168" i="3" s="1"/>
  <c r="L168" i="3" s="1"/>
  <c r="M168" i="3" s="1"/>
  <c r="J167" i="3"/>
  <c r="K167" i="3" s="1"/>
  <c r="L167" i="3" s="1"/>
  <c r="M167" i="3" s="1"/>
  <c r="J166" i="3"/>
  <c r="K166" i="3" s="1"/>
  <c r="L166" i="3" s="1"/>
  <c r="M166" i="3" s="1"/>
  <c r="J165" i="3"/>
  <c r="K165" i="3" s="1"/>
  <c r="L165" i="3" s="1"/>
  <c r="M165" i="3" s="1"/>
  <c r="J164" i="3"/>
  <c r="K164" i="3" s="1"/>
  <c r="L164" i="3" s="1"/>
  <c r="M164" i="3" s="1"/>
  <c r="J163" i="3"/>
  <c r="K163" i="3" s="1"/>
  <c r="L163" i="3" s="1"/>
  <c r="M163" i="3" s="1"/>
  <c r="J162" i="3"/>
  <c r="K162" i="3" s="1"/>
  <c r="L162" i="3" s="1"/>
  <c r="M162" i="3" s="1"/>
  <c r="J161" i="3"/>
  <c r="K161" i="3" s="1"/>
  <c r="L161" i="3" s="1"/>
  <c r="M161" i="3" s="1"/>
  <c r="J160" i="3"/>
  <c r="K160" i="3" s="1"/>
  <c r="L160" i="3" s="1"/>
  <c r="M160" i="3" s="1"/>
  <c r="J159" i="3"/>
  <c r="K159" i="3" s="1"/>
  <c r="L159" i="3" s="1"/>
  <c r="M159" i="3" s="1"/>
  <c r="J158" i="3"/>
  <c r="K158" i="3" s="1"/>
  <c r="L158" i="3" s="1"/>
  <c r="M158" i="3" s="1"/>
  <c r="J157" i="3"/>
  <c r="K157" i="3" s="1"/>
  <c r="L157" i="3" s="1"/>
  <c r="M157" i="3" s="1"/>
  <c r="J156" i="3"/>
  <c r="K156" i="3" s="1"/>
  <c r="L156" i="3" s="1"/>
  <c r="M156" i="3" s="1"/>
  <c r="J155" i="3"/>
  <c r="K155" i="3" s="1"/>
  <c r="L155" i="3" s="1"/>
  <c r="M155" i="3" s="1"/>
  <c r="J154" i="3"/>
  <c r="K154" i="3" s="1"/>
  <c r="L154" i="3" s="1"/>
  <c r="M154" i="3" s="1"/>
  <c r="J153" i="3"/>
  <c r="K153" i="3" s="1"/>
  <c r="L153" i="3" s="1"/>
  <c r="M153" i="3" s="1"/>
  <c r="J152" i="3"/>
  <c r="K152" i="3" s="1"/>
  <c r="L152" i="3" s="1"/>
  <c r="M152" i="3" s="1"/>
  <c r="J151" i="3"/>
  <c r="K151" i="3" s="1"/>
  <c r="L151" i="3" s="1"/>
  <c r="M151" i="3" s="1"/>
  <c r="J150" i="3"/>
  <c r="K150" i="3" s="1"/>
  <c r="L150" i="3" s="1"/>
  <c r="M150" i="3" s="1"/>
  <c r="J149" i="3"/>
  <c r="K149" i="3" s="1"/>
  <c r="L149" i="3" s="1"/>
  <c r="M149" i="3" s="1"/>
  <c r="J148" i="3"/>
  <c r="K148" i="3" s="1"/>
  <c r="L148" i="3" s="1"/>
  <c r="M148" i="3" s="1"/>
  <c r="J147" i="3"/>
  <c r="K147" i="3" s="1"/>
  <c r="L147" i="3" s="1"/>
  <c r="M147" i="3" s="1"/>
  <c r="J146" i="3"/>
  <c r="K146" i="3" s="1"/>
  <c r="L146" i="3" s="1"/>
  <c r="M146" i="3" s="1"/>
  <c r="J145" i="3"/>
  <c r="K145" i="3" s="1"/>
  <c r="L145" i="3" s="1"/>
  <c r="M145" i="3" s="1"/>
  <c r="J144" i="3"/>
  <c r="K144" i="3" s="1"/>
  <c r="L144" i="3" s="1"/>
  <c r="M144" i="3" s="1"/>
  <c r="J143" i="3"/>
  <c r="K143" i="3" s="1"/>
  <c r="L143" i="3" s="1"/>
  <c r="M143" i="3" s="1"/>
  <c r="J142" i="3"/>
  <c r="K142" i="3" s="1"/>
  <c r="L142" i="3" s="1"/>
  <c r="M142" i="3" s="1"/>
  <c r="J141" i="3"/>
  <c r="K141" i="3" s="1"/>
  <c r="L141" i="3" s="1"/>
  <c r="M141" i="3" s="1"/>
  <c r="J140" i="3"/>
  <c r="K140" i="3" s="1"/>
  <c r="L140" i="3" s="1"/>
  <c r="M140" i="3" s="1"/>
  <c r="J139" i="3"/>
  <c r="K139" i="3" s="1"/>
  <c r="L139" i="3" s="1"/>
  <c r="M139" i="3" s="1"/>
  <c r="J138" i="3"/>
  <c r="K138" i="3" s="1"/>
  <c r="L138" i="3" s="1"/>
  <c r="M138" i="3" s="1"/>
  <c r="J137" i="3"/>
  <c r="K137" i="3" s="1"/>
  <c r="L137" i="3" s="1"/>
  <c r="M137" i="3" s="1"/>
  <c r="J136" i="3"/>
  <c r="K136" i="3" s="1"/>
  <c r="L136" i="3" s="1"/>
  <c r="M136" i="3" s="1"/>
  <c r="J135" i="3"/>
  <c r="K135" i="3" s="1"/>
  <c r="L135" i="3" s="1"/>
  <c r="M135" i="3" s="1"/>
  <c r="J134" i="3"/>
  <c r="K134" i="3" s="1"/>
  <c r="L134" i="3" s="1"/>
  <c r="M134" i="3" s="1"/>
  <c r="J133" i="3"/>
  <c r="K133" i="3" s="1"/>
  <c r="L133" i="3" s="1"/>
  <c r="M133" i="3" s="1"/>
  <c r="J132" i="3"/>
  <c r="K132" i="3" s="1"/>
  <c r="L132" i="3" s="1"/>
  <c r="M132" i="3" s="1"/>
  <c r="J131" i="3"/>
  <c r="K131" i="3" s="1"/>
  <c r="L131" i="3" s="1"/>
  <c r="M131" i="3" s="1"/>
  <c r="J130" i="3"/>
  <c r="K130" i="3" s="1"/>
  <c r="L130" i="3" s="1"/>
  <c r="M130" i="3" s="1"/>
  <c r="J129" i="3"/>
  <c r="K129" i="3" s="1"/>
  <c r="L129" i="3" s="1"/>
  <c r="M129" i="3" s="1"/>
  <c r="J128" i="3"/>
  <c r="K128" i="3" s="1"/>
  <c r="L128" i="3" s="1"/>
  <c r="M128" i="3" s="1"/>
  <c r="J127" i="3"/>
  <c r="K127" i="3" s="1"/>
  <c r="L127" i="3" s="1"/>
  <c r="M127" i="3" s="1"/>
  <c r="J126" i="3"/>
  <c r="K126" i="3" s="1"/>
  <c r="L126" i="3" s="1"/>
  <c r="M126" i="3" s="1"/>
  <c r="J125" i="3"/>
  <c r="K125" i="3" s="1"/>
  <c r="L125" i="3" s="1"/>
  <c r="M125" i="3" s="1"/>
  <c r="J124" i="3"/>
  <c r="K124" i="3" s="1"/>
  <c r="L124" i="3" s="1"/>
  <c r="M124" i="3" s="1"/>
  <c r="J123" i="3"/>
  <c r="K123" i="3" s="1"/>
  <c r="L123" i="3" s="1"/>
  <c r="M123" i="3" s="1"/>
  <c r="J122" i="3"/>
  <c r="K122" i="3" s="1"/>
  <c r="L122" i="3" s="1"/>
  <c r="M122" i="3" s="1"/>
  <c r="J121" i="3"/>
  <c r="K121" i="3" s="1"/>
  <c r="L121" i="3" s="1"/>
  <c r="M121" i="3" s="1"/>
  <c r="J120" i="3"/>
  <c r="K120" i="3" s="1"/>
  <c r="L120" i="3" s="1"/>
  <c r="M120" i="3" s="1"/>
  <c r="J119" i="3"/>
  <c r="K119" i="3" s="1"/>
  <c r="L119" i="3" s="1"/>
  <c r="M119" i="3" s="1"/>
  <c r="J118" i="3"/>
  <c r="K118" i="3" s="1"/>
  <c r="L118" i="3" s="1"/>
  <c r="M118" i="3" s="1"/>
  <c r="J117" i="3"/>
  <c r="K117" i="3" s="1"/>
  <c r="L117" i="3" s="1"/>
  <c r="M117" i="3" s="1"/>
  <c r="J116" i="3"/>
  <c r="K116" i="3" s="1"/>
  <c r="L116" i="3" s="1"/>
  <c r="M116" i="3" s="1"/>
  <c r="J115" i="3"/>
  <c r="K115" i="3" s="1"/>
  <c r="L115" i="3" s="1"/>
  <c r="M115" i="3" s="1"/>
  <c r="J114" i="3"/>
  <c r="K114" i="3" s="1"/>
  <c r="L114" i="3" s="1"/>
  <c r="M114" i="3" s="1"/>
  <c r="J113" i="3"/>
  <c r="K113" i="3" s="1"/>
  <c r="L113" i="3" s="1"/>
  <c r="M113" i="3" s="1"/>
  <c r="J112" i="3"/>
  <c r="K112" i="3" s="1"/>
  <c r="L112" i="3" s="1"/>
  <c r="M112" i="3" s="1"/>
  <c r="J111" i="3"/>
  <c r="K111" i="3" s="1"/>
  <c r="L111" i="3" s="1"/>
  <c r="M111" i="3" s="1"/>
  <c r="J110" i="3"/>
  <c r="K110" i="3" s="1"/>
  <c r="L110" i="3" s="1"/>
  <c r="M110" i="3" s="1"/>
  <c r="J109" i="3"/>
  <c r="K109" i="3" s="1"/>
  <c r="L109" i="3" s="1"/>
  <c r="M109" i="3" s="1"/>
  <c r="J108" i="3"/>
  <c r="K108" i="3" s="1"/>
  <c r="L108" i="3" s="1"/>
  <c r="M108" i="3" s="1"/>
  <c r="J107" i="3"/>
  <c r="K107" i="3" s="1"/>
  <c r="L107" i="3" s="1"/>
  <c r="M107" i="3" s="1"/>
  <c r="J106" i="3"/>
  <c r="K106" i="3" s="1"/>
  <c r="L106" i="3" s="1"/>
  <c r="M106" i="3" s="1"/>
  <c r="J105" i="3"/>
  <c r="K105" i="3" s="1"/>
  <c r="L105" i="3" s="1"/>
  <c r="M105" i="3" s="1"/>
  <c r="J104" i="3"/>
  <c r="K104" i="3" s="1"/>
  <c r="L104" i="3" s="1"/>
  <c r="M104" i="3" s="1"/>
  <c r="J103" i="3"/>
  <c r="K103" i="3" s="1"/>
  <c r="L103" i="3" s="1"/>
  <c r="M103" i="3" s="1"/>
  <c r="J102" i="3"/>
  <c r="K102" i="3" s="1"/>
  <c r="L102" i="3" s="1"/>
  <c r="M102" i="3" s="1"/>
  <c r="J101" i="3"/>
  <c r="K101" i="3" s="1"/>
  <c r="L101" i="3" s="1"/>
  <c r="M101" i="3" s="1"/>
  <c r="J100" i="3"/>
  <c r="K100" i="3" s="1"/>
  <c r="L100" i="3" s="1"/>
  <c r="M100" i="3" s="1"/>
  <c r="J99" i="3"/>
  <c r="K99" i="3" s="1"/>
  <c r="L99" i="3" s="1"/>
  <c r="M99" i="3" s="1"/>
  <c r="J98" i="3"/>
  <c r="K98" i="3" s="1"/>
  <c r="L98" i="3" s="1"/>
  <c r="M98" i="3" s="1"/>
  <c r="J97" i="3"/>
  <c r="K97" i="3" s="1"/>
  <c r="L97" i="3" s="1"/>
  <c r="M97" i="3" s="1"/>
  <c r="J96" i="3"/>
  <c r="K96" i="3" s="1"/>
  <c r="L96" i="3" s="1"/>
  <c r="M96" i="3" s="1"/>
  <c r="J95" i="3"/>
  <c r="K95" i="3" s="1"/>
  <c r="L95" i="3" s="1"/>
  <c r="M95" i="3" s="1"/>
  <c r="J94" i="3"/>
  <c r="K94" i="3" s="1"/>
  <c r="L94" i="3" s="1"/>
  <c r="M94" i="3" s="1"/>
  <c r="J93" i="3"/>
  <c r="K93" i="3" s="1"/>
  <c r="L93" i="3" s="1"/>
  <c r="M93" i="3" s="1"/>
  <c r="J92" i="3"/>
  <c r="K92" i="3" s="1"/>
  <c r="L92" i="3" s="1"/>
  <c r="M92" i="3" s="1"/>
  <c r="J91" i="3"/>
  <c r="K91" i="3" s="1"/>
  <c r="L91" i="3" s="1"/>
  <c r="M91" i="3" s="1"/>
  <c r="J90" i="3"/>
  <c r="K90" i="3" s="1"/>
  <c r="L90" i="3" s="1"/>
  <c r="M90" i="3" s="1"/>
  <c r="J89" i="3"/>
  <c r="K89" i="3" s="1"/>
  <c r="L89" i="3" s="1"/>
  <c r="M89" i="3" s="1"/>
  <c r="J88" i="3"/>
  <c r="K88" i="3" s="1"/>
  <c r="L88" i="3" s="1"/>
  <c r="M88" i="3" s="1"/>
  <c r="J87" i="3"/>
  <c r="K87" i="3" s="1"/>
  <c r="L87" i="3" s="1"/>
  <c r="M87" i="3" s="1"/>
  <c r="J86" i="3"/>
  <c r="K86" i="3" s="1"/>
  <c r="L86" i="3" s="1"/>
  <c r="M86" i="3" s="1"/>
  <c r="J85" i="3"/>
  <c r="K85" i="3" s="1"/>
  <c r="L85" i="3" s="1"/>
  <c r="M85" i="3" s="1"/>
  <c r="J84" i="3"/>
  <c r="K84" i="3" s="1"/>
  <c r="L84" i="3" s="1"/>
  <c r="M84" i="3" s="1"/>
  <c r="J83" i="3"/>
  <c r="K83" i="3" s="1"/>
  <c r="L83" i="3" s="1"/>
  <c r="M83" i="3" s="1"/>
  <c r="J82" i="3"/>
  <c r="K82" i="3" s="1"/>
  <c r="L82" i="3" s="1"/>
  <c r="M82" i="3" s="1"/>
  <c r="J81" i="3"/>
  <c r="K81" i="3" s="1"/>
  <c r="L81" i="3" s="1"/>
  <c r="M81" i="3" s="1"/>
  <c r="J80" i="3"/>
  <c r="K80" i="3" s="1"/>
  <c r="L80" i="3" s="1"/>
  <c r="M80" i="3" s="1"/>
  <c r="J79" i="3"/>
  <c r="K79" i="3" s="1"/>
  <c r="L79" i="3" s="1"/>
  <c r="M79" i="3" s="1"/>
  <c r="J78" i="3"/>
  <c r="K78" i="3" s="1"/>
  <c r="L78" i="3" s="1"/>
  <c r="M78" i="3" s="1"/>
  <c r="J77" i="3"/>
  <c r="K77" i="3" s="1"/>
  <c r="L77" i="3" s="1"/>
  <c r="M77" i="3" s="1"/>
  <c r="J76" i="3"/>
  <c r="K76" i="3" s="1"/>
  <c r="L76" i="3" s="1"/>
  <c r="M76" i="3" s="1"/>
  <c r="J75" i="3"/>
  <c r="K75" i="3" s="1"/>
  <c r="L75" i="3" s="1"/>
  <c r="M75" i="3" s="1"/>
  <c r="J74" i="3"/>
  <c r="K74" i="3" s="1"/>
  <c r="L74" i="3" s="1"/>
  <c r="M74" i="3" s="1"/>
  <c r="J73" i="3"/>
  <c r="K73" i="3" s="1"/>
  <c r="L73" i="3" s="1"/>
  <c r="M73" i="3" s="1"/>
  <c r="J72" i="3"/>
  <c r="K72" i="3" s="1"/>
  <c r="L72" i="3" s="1"/>
  <c r="M72" i="3" s="1"/>
  <c r="J71" i="3"/>
  <c r="K71" i="3" s="1"/>
  <c r="L71" i="3" s="1"/>
  <c r="M71" i="3" s="1"/>
  <c r="J70" i="3"/>
  <c r="K70" i="3" s="1"/>
  <c r="L70" i="3" s="1"/>
  <c r="M70" i="3" s="1"/>
  <c r="J69" i="3"/>
  <c r="K69" i="3" s="1"/>
  <c r="L69" i="3" s="1"/>
  <c r="M69" i="3" s="1"/>
  <c r="J68" i="3"/>
  <c r="K68" i="3" s="1"/>
  <c r="L68" i="3" s="1"/>
  <c r="M68" i="3" s="1"/>
  <c r="J67" i="3"/>
  <c r="K67" i="3" s="1"/>
  <c r="L67" i="3" s="1"/>
  <c r="M67" i="3" s="1"/>
  <c r="J66" i="3"/>
  <c r="K66" i="3" s="1"/>
  <c r="L66" i="3" s="1"/>
  <c r="M66" i="3" s="1"/>
  <c r="J65" i="3"/>
  <c r="K65" i="3" s="1"/>
  <c r="L65" i="3" s="1"/>
  <c r="M65" i="3" s="1"/>
  <c r="J64" i="3"/>
  <c r="K64" i="3" s="1"/>
  <c r="L64" i="3" s="1"/>
  <c r="M64" i="3" s="1"/>
  <c r="J63" i="3"/>
  <c r="K63" i="3" s="1"/>
  <c r="L63" i="3" s="1"/>
  <c r="M63" i="3" s="1"/>
  <c r="J62" i="3"/>
  <c r="K62" i="3" s="1"/>
  <c r="L62" i="3" s="1"/>
  <c r="M62" i="3" s="1"/>
  <c r="J61" i="3"/>
  <c r="K61" i="3" s="1"/>
  <c r="L61" i="3" s="1"/>
  <c r="M61" i="3" s="1"/>
  <c r="J60" i="3"/>
  <c r="K60" i="3" s="1"/>
  <c r="L60" i="3" s="1"/>
  <c r="M60" i="3" s="1"/>
  <c r="J59" i="3"/>
  <c r="K59" i="3" s="1"/>
  <c r="L59" i="3" s="1"/>
  <c r="M59" i="3" s="1"/>
  <c r="J58" i="3"/>
  <c r="K58" i="3" s="1"/>
  <c r="L58" i="3" s="1"/>
  <c r="M58" i="3" s="1"/>
  <c r="J57" i="3"/>
  <c r="K57" i="3" s="1"/>
  <c r="L57" i="3" s="1"/>
  <c r="M57" i="3" s="1"/>
  <c r="J56" i="3"/>
  <c r="K56" i="3" s="1"/>
  <c r="L56" i="3" s="1"/>
  <c r="M56" i="3" s="1"/>
  <c r="J55" i="3"/>
  <c r="K55" i="3" s="1"/>
  <c r="L55" i="3" s="1"/>
  <c r="M55" i="3" s="1"/>
  <c r="J54" i="3"/>
  <c r="K54" i="3" s="1"/>
  <c r="L54" i="3" s="1"/>
  <c r="M54" i="3" s="1"/>
  <c r="J53" i="3"/>
  <c r="K53" i="3" s="1"/>
  <c r="L53" i="3" s="1"/>
  <c r="M53" i="3" s="1"/>
  <c r="J52" i="3"/>
  <c r="K52" i="3" s="1"/>
  <c r="L52" i="3" s="1"/>
  <c r="M52" i="3" s="1"/>
  <c r="J51" i="3"/>
  <c r="K51" i="3" s="1"/>
  <c r="L51" i="3" s="1"/>
  <c r="M51" i="3" s="1"/>
  <c r="J50" i="3"/>
  <c r="K50" i="3" s="1"/>
  <c r="L50" i="3" s="1"/>
  <c r="M50" i="3" s="1"/>
  <c r="J49" i="3"/>
  <c r="K49" i="3" s="1"/>
  <c r="L49" i="3" s="1"/>
  <c r="M49" i="3" s="1"/>
  <c r="J48" i="3"/>
  <c r="K48" i="3" s="1"/>
  <c r="L48" i="3" s="1"/>
  <c r="M48" i="3" s="1"/>
  <c r="J47" i="3"/>
  <c r="K47" i="3" s="1"/>
  <c r="L47" i="3" s="1"/>
  <c r="M47" i="3" s="1"/>
  <c r="J46" i="3"/>
  <c r="K46" i="3" s="1"/>
  <c r="L46" i="3" s="1"/>
  <c r="M46" i="3" s="1"/>
  <c r="J45" i="3"/>
  <c r="K45" i="3" s="1"/>
  <c r="L45" i="3" s="1"/>
  <c r="M45" i="3" s="1"/>
  <c r="J44" i="3"/>
  <c r="K44" i="3" s="1"/>
  <c r="L44" i="3" s="1"/>
  <c r="M44" i="3" s="1"/>
  <c r="J43" i="3"/>
  <c r="K43" i="3" s="1"/>
  <c r="L43" i="3" s="1"/>
  <c r="M43" i="3" s="1"/>
  <c r="J42" i="3"/>
  <c r="K42" i="3" s="1"/>
  <c r="L42" i="3" s="1"/>
  <c r="M42" i="3" s="1"/>
  <c r="J41" i="3"/>
  <c r="K41" i="3" s="1"/>
  <c r="L41" i="3" s="1"/>
  <c r="M41" i="3" s="1"/>
  <c r="J40" i="3"/>
  <c r="K40" i="3" s="1"/>
  <c r="L40" i="3" s="1"/>
  <c r="M40" i="3" s="1"/>
  <c r="J39" i="3"/>
  <c r="K39" i="3" s="1"/>
  <c r="L39" i="3" s="1"/>
  <c r="M39" i="3" s="1"/>
  <c r="J38" i="3"/>
  <c r="K38" i="3" s="1"/>
  <c r="L38" i="3" s="1"/>
  <c r="M38" i="3" s="1"/>
  <c r="J37" i="3"/>
  <c r="K37" i="3" s="1"/>
  <c r="L37" i="3" s="1"/>
  <c r="M37" i="3" s="1"/>
  <c r="J36" i="3"/>
  <c r="K36" i="3" s="1"/>
  <c r="L36" i="3" s="1"/>
  <c r="M36" i="3" s="1"/>
  <c r="J35" i="3"/>
  <c r="K35" i="3" s="1"/>
  <c r="L35" i="3" s="1"/>
  <c r="M35" i="3" s="1"/>
  <c r="J34" i="3"/>
  <c r="K34" i="3" s="1"/>
  <c r="L34" i="3" s="1"/>
  <c r="M34" i="3" s="1"/>
  <c r="J33" i="3"/>
  <c r="K33" i="3" s="1"/>
  <c r="L33" i="3" s="1"/>
  <c r="M33" i="3" s="1"/>
  <c r="J32" i="3"/>
  <c r="K32" i="3" s="1"/>
  <c r="L32" i="3" s="1"/>
  <c r="M32" i="3" s="1"/>
  <c r="J31" i="3"/>
  <c r="K31" i="3" s="1"/>
  <c r="L31" i="3" s="1"/>
  <c r="M31" i="3" s="1"/>
  <c r="J30" i="3"/>
  <c r="K30" i="3" s="1"/>
  <c r="L30" i="3" s="1"/>
  <c r="M30" i="3" s="1"/>
  <c r="J29" i="3"/>
  <c r="K29" i="3" s="1"/>
  <c r="L29" i="3" s="1"/>
  <c r="M29" i="3" s="1"/>
  <c r="J28" i="3"/>
  <c r="K28" i="3" s="1"/>
  <c r="L28" i="3" s="1"/>
  <c r="M28" i="3" s="1"/>
  <c r="J27" i="3"/>
  <c r="K27" i="3" s="1"/>
  <c r="L27" i="3" s="1"/>
  <c r="M27" i="3" s="1"/>
  <c r="J26" i="3"/>
  <c r="K26" i="3" s="1"/>
  <c r="L26" i="3" s="1"/>
  <c r="M26" i="3" s="1"/>
  <c r="J25" i="3"/>
  <c r="K25" i="3" s="1"/>
  <c r="L25" i="3" s="1"/>
  <c r="M25" i="3" s="1"/>
  <c r="J24" i="3"/>
  <c r="K24" i="3" s="1"/>
  <c r="L24" i="3" s="1"/>
  <c r="M24" i="3" s="1"/>
  <c r="J23" i="3"/>
  <c r="K23" i="3" s="1"/>
  <c r="L23" i="3" s="1"/>
  <c r="M23" i="3" s="1"/>
  <c r="J22" i="3"/>
  <c r="K22" i="3" s="1"/>
  <c r="L22" i="3" s="1"/>
  <c r="M22" i="3" s="1"/>
  <c r="J21" i="3"/>
  <c r="K21" i="3" s="1"/>
  <c r="L21" i="3" s="1"/>
  <c r="M21" i="3" s="1"/>
  <c r="J20" i="3"/>
  <c r="K20" i="3" s="1"/>
  <c r="L20" i="3" s="1"/>
  <c r="M20" i="3" s="1"/>
  <c r="J19" i="3"/>
  <c r="K19" i="3" s="1"/>
  <c r="L19" i="3" s="1"/>
  <c r="M19" i="3" s="1"/>
  <c r="J18" i="3"/>
  <c r="K18" i="3" s="1"/>
  <c r="L18" i="3" s="1"/>
  <c r="M18" i="3" s="1"/>
  <c r="J17" i="3"/>
  <c r="K17" i="3" s="1"/>
  <c r="L17" i="3" s="1"/>
  <c r="M17" i="3" s="1"/>
  <c r="J16" i="3"/>
  <c r="K16" i="3" s="1"/>
  <c r="L16" i="3" s="1"/>
  <c r="M16" i="3" s="1"/>
  <c r="J15" i="3"/>
  <c r="K15" i="3" s="1"/>
  <c r="L15" i="3" s="1"/>
  <c r="M15" i="3" s="1"/>
  <c r="J14" i="3"/>
  <c r="K14" i="3" s="1"/>
  <c r="L14" i="3" s="1"/>
  <c r="M14" i="3" s="1"/>
  <c r="J13" i="3"/>
  <c r="K13" i="3" s="1"/>
  <c r="L13" i="3" s="1"/>
  <c r="M13" i="3" s="1"/>
  <c r="J12" i="3"/>
  <c r="K12" i="3" s="1"/>
  <c r="L12" i="3" s="1"/>
  <c r="M12" i="3" s="1"/>
  <c r="J11" i="3"/>
  <c r="K11" i="3" s="1"/>
  <c r="L11" i="3" s="1"/>
  <c r="M11" i="3" s="1"/>
  <c r="J10" i="3"/>
  <c r="K10" i="3" s="1"/>
  <c r="L10" i="3" s="1"/>
  <c r="M10" i="3" s="1"/>
  <c r="J9" i="3"/>
  <c r="K9" i="3" s="1"/>
  <c r="L9" i="3" s="1"/>
  <c r="M9" i="3" s="1"/>
  <c r="J8" i="3"/>
  <c r="K8" i="3" s="1"/>
  <c r="L8" i="3" s="1"/>
  <c r="M8" i="3" s="1"/>
  <c r="J7" i="3"/>
  <c r="K7" i="3" s="1"/>
  <c r="L7" i="3" s="1"/>
  <c r="M7" i="3" s="1"/>
  <c r="J6" i="3"/>
  <c r="K6" i="3" s="1"/>
  <c r="L6" i="3" s="1"/>
  <c r="M6" i="3" s="1"/>
  <c r="J5" i="3"/>
  <c r="K5" i="3" s="1"/>
  <c r="L5" i="3" s="1"/>
  <c r="M5" i="3" s="1"/>
  <c r="J4" i="3"/>
  <c r="K4" i="3" s="1"/>
  <c r="L4" i="3" s="1"/>
  <c r="M4" i="3" s="1"/>
  <c r="J3" i="3"/>
  <c r="K3" i="3" s="1"/>
  <c r="L3" i="3" s="1"/>
  <c r="M3" i="3" s="1"/>
  <c r="J2" i="3"/>
  <c r="K2" i="3" s="1"/>
  <c r="L2" i="3" s="1"/>
  <c r="M2" i="3" s="1"/>
</calcChain>
</file>

<file path=xl/sharedStrings.xml><?xml version="1.0" encoding="utf-8"?>
<sst xmlns="http://schemas.openxmlformats.org/spreadsheetml/2006/main" count="267" uniqueCount="155">
  <si>
    <t>사용여부</t>
  </si>
  <si>
    <t>품목코드</t>
  </si>
  <si>
    <t>품목명(규격)</t>
  </si>
  <si>
    <t>구분</t>
  </si>
  <si>
    <t>비고</t>
  </si>
  <si>
    <t>마진율</t>
  </si>
  <si>
    <t>Y</t>
  </si>
  <si>
    <t>배송비</t>
  </si>
  <si>
    <t>A0001</t>
  </si>
  <si>
    <t>본사제조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</si>
  <si>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</si>
  <si>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</si>
  <si>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</si>
  <si>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</si>
  <si>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</si>
  <si>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</si>
  <si>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</si>
  <si>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</si>
  <si>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</si>
  <si>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</si>
  <si>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</si>
  <si>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</si>
  <si>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</si>
  <si>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</si>
  <si>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</si>
  <si>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</si>
  <si>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</si>
  <si>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A0022</t>
  </si>
  <si>
    <t>A0023</t>
  </si>
  <si>
    <t>A0024</t>
  </si>
  <si>
    <t>A0025</t>
  </si>
  <si>
    <t>A0026</t>
  </si>
  <si>
    <t>A0027</t>
  </si>
  <si>
    <t>A0029</t>
  </si>
  <si>
    <t>A0030</t>
  </si>
  <si>
    <t>A0031</t>
  </si>
  <si>
    <t>A0033</t>
  </si>
  <si>
    <t>A0034</t>
  </si>
  <si>
    <t>A0035</t>
  </si>
  <si>
    <t>A0036</t>
  </si>
  <si>
    <t>유월의보리 물류 원가 MASTER 사용법</t>
  </si>
  <si>
    <t>1</t>
  </si>
  <si>
    <t>PRODUCT_MASTER 시트의 제조원가(입력) F열만 채우면 됩니다.</t>
  </si>
  <si>
    <t>2</t>
  </si>
  <si>
    <t>이카운트/ERP 판매현황 엑셀은 품목코드 포함 양식으로 다운로드합니다.</t>
  </si>
  <si>
    <t>3</t>
  </si>
  <si>
    <t>REPORT_TEMPLATE 시트에는 ERP 데이터를 A:I에 붙여넣으면 J:M이 자동 계산됩니다.</t>
  </si>
  <si>
    <t>4</t>
  </si>
  <si>
    <t>Railway 자동화에서는 PRODUCT_MASTER의 품목코드→제조원가를 읽어 SKU별 공급가-원가를 계산합니다.</t>
  </si>
  <si>
    <t>주의</t>
  </si>
  <si>
    <t>품목코드는 절대 중간에 바꾸지 마세요. 신규 품목은 PRODUCT_MASTER에 먼저 추가하세요.</t>
  </si>
  <si>
    <t>생성일</t>
  </si>
  <si>
    <t>2026-05-27</t>
  </si>
  <si>
    <t>일자-No.</t>
  </si>
  <si>
    <t>수량</t>
  </si>
  <si>
    <t>단가</t>
  </si>
  <si>
    <t>공급가액</t>
  </si>
  <si>
    <t>부가세</t>
  </si>
  <si>
    <t>합계</t>
  </si>
  <si>
    <t>거래처명</t>
  </si>
  <si>
    <t>제조원가(단위)</t>
  </si>
  <si>
    <t>총제조원가</t>
  </si>
  <si>
    <t>물류이익</t>
  </si>
  <si>
    <t>월말 리포트 집계식 예시</t>
  </si>
  <si>
    <t>항목</t>
  </si>
  <si>
    <t>수식/설명</t>
  </si>
  <si>
    <t>매장별 본사공급액</t>
  </si>
  <si>
    <t>=SUMIFS(공급가액, 거래처명, 매장명)</t>
  </si>
  <si>
    <t>SKU별 공급액</t>
  </si>
  <si>
    <t>=SUMIFS(공급가액, 품목코드, 코드)</t>
  </si>
  <si>
    <t>SKU별 제조원가</t>
  </si>
  <si>
    <t>=SUMIFS(총제조원가, 품목코드, 코드)</t>
  </si>
  <si>
    <t>SKU별 이익</t>
  </si>
  <si>
    <t>=공급액-제조원가</t>
  </si>
  <si>
    <t>SKU별 마진율</t>
  </si>
  <si>
    <t>=이익/공급액</t>
  </si>
  <si>
    <t>총매출 대비 공급비율</t>
  </si>
  <si>
    <t>=본사공급액/POS월매출</t>
  </si>
  <si>
    <t>A0032</t>
    <phoneticPr fontId="5" type="noConversion"/>
  </si>
  <si>
    <t>배송비(주말)</t>
    <phoneticPr fontId="5" type="noConversion"/>
  </si>
  <si>
    <t>00000002</t>
    <phoneticPr fontId="5" type="noConversion"/>
  </si>
  <si>
    <t>00000001</t>
    <phoneticPr fontId="5" type="noConversion"/>
  </si>
  <si>
    <t>A0037</t>
  </si>
  <si>
    <t>유월의보리 오이무침</t>
  </si>
  <si>
    <t>A0038</t>
  </si>
  <si>
    <t>유월의보리 조미능이버섯</t>
  </si>
  <si>
    <t>A0039</t>
  </si>
  <si>
    <t>유월의보리 사골들기름김치찜</t>
  </si>
  <si>
    <t>A0040</t>
  </si>
  <si>
    <t>인삼</t>
  </si>
  <si>
    <t>A0041</t>
  </si>
  <si>
    <t>유월의보리 콩국수파우더</t>
  </si>
  <si>
    <t>A0042</t>
  </si>
  <si>
    <t>진한콩국물</t>
  </si>
  <si>
    <t>A0043</t>
  </si>
  <si>
    <t>쑥인절미</t>
  </si>
  <si>
    <t>A0044</t>
  </si>
  <si>
    <t>유월의보리 취나물무침</t>
  </si>
  <si>
    <t>A0045</t>
  </si>
  <si>
    <t>유월의보리 고구마줄기무침</t>
  </si>
  <si>
    <t>A0046</t>
  </si>
  <si>
    <t>유월의보리 닭정육</t>
  </si>
  <si>
    <r>
      <t>품목명</t>
    </r>
    <r>
      <rPr>
        <b/>
        <sz val="11"/>
        <color theme="1"/>
        <rFont val="Carlito"/>
        <family val="2"/>
      </rPr>
      <t>(</t>
    </r>
    <r>
      <rPr>
        <b/>
        <sz val="11"/>
        <color theme="1"/>
        <rFont val="Carlito"/>
      </rPr>
      <t>규격</t>
    </r>
    <r>
      <rPr>
        <b/>
        <sz val="11"/>
        <color theme="1"/>
        <rFont val="Carlito"/>
        <family val="2"/>
      </rPr>
      <t>)</t>
    </r>
  </si>
  <si>
    <r>
      <t>공급단가</t>
    </r>
    <r>
      <rPr>
        <b/>
        <sz val="11"/>
        <color theme="1"/>
        <rFont val="Carlito"/>
        <family val="2"/>
      </rPr>
      <t>(ERP)</t>
    </r>
  </si>
  <si>
    <r>
      <t>제조원가</t>
    </r>
    <r>
      <rPr>
        <b/>
        <sz val="11"/>
        <color theme="1"/>
        <rFont val="Carlito"/>
        <family val="2"/>
      </rPr>
      <t>(</t>
    </r>
    <r>
      <rPr>
        <b/>
        <sz val="11"/>
        <color theme="1"/>
        <rFont val="Carlito"/>
      </rPr>
      <t>입력</t>
    </r>
    <r>
      <rPr>
        <b/>
        <sz val="11"/>
        <color theme="1"/>
        <rFont val="Carlito"/>
        <family val="2"/>
      </rPr>
      <t>)</t>
    </r>
  </si>
  <si>
    <r>
      <t>팩</t>
    </r>
    <r>
      <rPr>
        <b/>
        <sz val="11"/>
        <color theme="1"/>
        <rFont val="Carlito"/>
        <family val="2"/>
      </rPr>
      <t>/</t>
    </r>
    <r>
      <rPr>
        <b/>
        <sz val="11"/>
        <color theme="1"/>
        <rFont val="Carlito"/>
      </rPr>
      <t>단위</t>
    </r>
  </si>
  <si>
    <t>유월의보리 볶음소스</t>
  </si>
  <si>
    <t>유월의보리 겉절이 소스</t>
  </si>
  <si>
    <t>유월의보리 청국장 소스</t>
  </si>
  <si>
    <t>유월의보리 간장게장 소스</t>
  </si>
  <si>
    <t>유월의보리 비빔고추장 소스</t>
  </si>
  <si>
    <t>유월의보리 비빔칼국수 소스</t>
  </si>
  <si>
    <t>유월의보리 사골칼국수소스</t>
  </si>
  <si>
    <t>유월의보리 바지락칼국수 소스</t>
  </si>
  <si>
    <t>유월의보리 잡채 소스</t>
  </si>
  <si>
    <t>유월의보리 양념간장 소스</t>
  </si>
  <si>
    <t>유월의보리 유자연근장아찌</t>
  </si>
  <si>
    <t>유월의보리 비빔 무생채</t>
  </si>
  <si>
    <t>유월의보리 보쌈 무생채</t>
  </si>
  <si>
    <t>유월의보리 오징어초무침</t>
  </si>
  <si>
    <t>유월의보리 시금치무침</t>
  </si>
  <si>
    <t>유월의보리 조미당면</t>
  </si>
  <si>
    <t>유월의보리 조미보리</t>
  </si>
  <si>
    <t>유월의보리 조미곤드레</t>
  </si>
  <si>
    <t>유월의보리 파전반죽</t>
  </si>
  <si>
    <t>유월의보리 두부조림</t>
  </si>
  <si>
    <t>쌀게무침</t>
  </si>
  <si>
    <t>유월의보리 가지나물</t>
  </si>
  <si>
    <t>유월의보리 얼갈이무침</t>
  </si>
  <si>
    <t>유월의보리 더덕무침</t>
  </si>
  <si>
    <t>등심덧살수비드</t>
  </si>
  <si>
    <t>왕돈까스</t>
  </si>
  <si>
    <t>돈까스소스</t>
  </si>
  <si>
    <t>문어슬라이스</t>
  </si>
  <si>
    <t>동해백골뱅이</t>
  </si>
  <si>
    <t>경기미</t>
  </si>
  <si>
    <t>생칼국수</t>
  </si>
  <si>
    <t>알타리</t>
  </si>
  <si>
    <t>5KG[PAK]</t>
  </si>
  <si>
    <t>2.5KG[PAK]</t>
  </si>
  <si>
    <t>3KG[PAK]</t>
  </si>
  <si>
    <t>1KG[PAK]</t>
  </si>
  <si>
    <t>4KG*3EA[BOX]</t>
  </si>
  <si>
    <t>4.5KG[PAK]</t>
  </si>
  <si>
    <t>KG[BOX]</t>
  </si>
  <si>
    <t>6EA[BOX]</t>
  </si>
  <si>
    <t>2KG*5EA[BOX]</t>
  </si>
  <si>
    <t>200G*10EA[BOX]</t>
  </si>
  <si>
    <t>20KG</t>
  </si>
  <si>
    <t>1KG*15EA[BOX]</t>
  </si>
  <si>
    <t>10KG*2EA[BOX]</t>
  </si>
  <si>
    <t>500G[PAK]</t>
  </si>
  <si>
    <t>950ML*4EA[BOX]</t>
  </si>
  <si>
    <t>70G*16EA[BOX]</t>
  </si>
  <si>
    <t>2KG[PAK]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</si>
</sst>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76" formatCode="0.0%"/>
  </numFmts>
  <fonts count="1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color theme="1"/>
      <name val="Calibri"/>
      <family val="2"/>
      <scheme val="minor"/>
    </font>
    <font>
      <sz val="9"/>
      <color rgb="FFFF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11"/>
      <color theme="1"/>
      <name val="Carlito"/>
    </font>
    <font>
      <b/>
      <sz val="11"/>
      <color theme="1"/>
      <name val="Carlito"/>
      <family val="2"/>
    </font>
    <font>
      <sz val="11"/>
      <color theme="1"/>
      <name val="Carlito"/>
      <family val="2"/>
    </font>
    <font>
      <sz val="11"/>
      <color theme="1"/>
      <name val="Arial"/>
      <family val="2"/>
      <charset val="129"/>
    </font>
    <font>
      <sz val="11"/>
      <color theme="1"/>
      <name val="Calibri"/>
      <family val="2"/>
    </font>
    <font>
      <sz val="11"/>
      <color theme="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4532D"/>
      </patternFill>
    </fill>
    <fill>
      <patternFill patternType="solid">
        <fgColor rgb="FFDCFCE7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7" fillId="0" borderId="0"/>
    <xf numFmtId="0" fontId="4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3" fillId="0" borderId="0">
      <alignment vertical="center"/>
    </xf>
    <xf numFmtId="0" fontId="14" fillId="0" borderId="0"/>
  </cellStyleXfs>
  <cellXfs count="26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3" fontId="0" fillId="0" borderId="0" xfId="1" applyNumberFormat="1" applyFont="1"/>
    <xf numFmtId="176" fontId="0" fillId="0" borderId="0" xfId="1" applyNumberFormat="1" applyFont="1"/>
    <xf numFmtId="0" fontId="2" fillId="4" borderId="0" xfId="1" applyFont="1" applyFill="1" applyAlignment="1">
      <alignment horizontal="center"/>
    </xf>
    <xf numFmtId="0" fontId="2" fillId="5" borderId="0" xfId="1" applyFont="1" applyFill="1" applyAlignment="1">
      <alignment horizontal="center" wrapText="1"/>
    </xf>
    <xf numFmtId="0" fontId="0" fillId="7" borderId="0" xfId="0" applyFill="1"/>
    <xf numFmtId="0" fontId="12" fillId="7" borderId="0" xfId="0" applyFont="1" applyFill="1"/>
    <xf numFmtId="0" fontId="10" fillId="7" borderId="2" xfId="1" applyFont="1" applyFill="1" applyBorder="1" applyAlignment="1">
      <alignment horizontal="center" vertical="center" wrapText="1"/>
    </xf>
    <xf numFmtId="0" fontId="0" fillId="7" borderId="2" xfId="1" applyFont="1" applyFill="1" applyBorder="1" applyAlignment="1">
      <alignment wrapText="1"/>
    </xf>
    <xf numFmtId="49" fontId="0" fillId="7" borderId="2" xfId="1" applyNumberFormat="1" applyFont="1" applyFill="1" applyBorder="1" applyAlignment="1">
      <alignment wrapText="1"/>
    </xf>
    <xf numFmtId="3" fontId="0" fillId="7" borderId="2" xfId="1" applyNumberFormat="1" applyFont="1" applyFill="1" applyBorder="1" applyAlignment="1">
      <alignment wrapText="1"/>
    </xf>
    <xf numFmtId="0" fontId="6" fillId="7" borderId="2" xfId="1" applyFont="1" applyFill="1" applyBorder="1" applyAlignment="1">
      <alignment wrapText="1"/>
    </xf>
    <xf numFmtId="0" fontId="0" fillId="7" borderId="2" xfId="0" applyFill="1" applyBorder="1"/>
    <xf numFmtId="4" fontId="9" fillId="7" borderId="2" xfId="2" applyNumberFormat="1" applyFont="1" applyFill="1" applyBorder="1" applyAlignment="1">
      <alignment horizontal="right" vertical="center" readingOrder="1"/>
    </xf>
    <xf numFmtId="0" fontId="0" fillId="7" borderId="2" xfId="0" applyFill="1" applyBorder="1" applyAlignment="1">
      <alignment vertical="center"/>
    </xf>
    <xf numFmtId="49" fontId="8" fillId="7" borderId="2" xfId="2" applyNumberFormat="1" applyFont="1" applyFill="1" applyBorder="1" applyAlignment="1">
      <alignment horizontal="left" vertical="center" readingOrder="1"/>
    </xf>
    <xf numFmtId="49" fontId="9" fillId="6" borderId="1" xfId="2" applyNumberFormat="1" applyFont="1" applyFill="1" applyBorder="1" applyAlignment="1">
      <alignment horizontal="left" vertical="center" readingOrder="1"/>
    </xf>
    <xf numFmtId="0" fontId="3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1" fillId="3" borderId="0" xfId="1" applyFont="1" applyFill="1" applyAlignment="1">
      <alignment horizontal="center"/>
    </xf>
    <xf numFmtId="0" fontId="0" fillId="0" borderId="0" xfId="0"/>
    <xf numFmtId="3" fontId="15" fillId="7" borderId="2" xfId="1" applyNumberFormat="1" applyFont="1" applyFill="1" applyBorder="1" applyAlignment="1">
      <alignment wrapText="1"/>
    </xf>
    <xf numFmtId="0" fontId="15" fillId="7" borderId="2" xfId="0" applyFont="1" applyFill="1" applyBorder="1" applyAlignment="1">
      <alignment vertical="center"/>
    </xf>
    <xf numFmtId="0" fontId="15" fillId="7" borderId="2" xfId="0" applyFont="1" applyFill="1" applyBorder="1"/>
  </cellXfs>
  <cellStyles count="8">
    <cellStyle name="Normal" xfId="1" xr:uid="{00000000-0005-0000-0000-000000000000}"/>
    <cellStyle name="Normal 2" xfId="7" xr:uid="{52A90CD0-DF27-4792-8438-C2D952600753}"/>
    <cellStyle name="백분율 2" xfId="5" xr:uid="{B102ACB3-BBA7-4138-AEAE-388593BAF0E6}"/>
    <cellStyle name="쉼표 2" xfId="4" xr:uid="{4297A44F-1123-4709-9324-6FD4C384A5A1}"/>
    <cellStyle name="표준" xfId="0" builtinId="0"/>
    <cellStyle name="표준 2" xfId="2" xr:uid="{9A1EB634-2710-49AA-80B2-3F3D7130EB07}"/>
    <cellStyle name="표준 2 2" xfId="6" xr:uid="{2855F415-4440-4082-81F9-DE5C7481323B}"/>
    <cellStyle name="표준 3" xfId="3" xr:uid="{5BFFED80-3383-433D-A609-A987DBFBC66D}"/>
  </cellStyles>
  <dxfs count="15">
    <dxf>
      <numFmt numFmtId="0" formatCode="General"/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z val="12"/>
        <color theme="0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1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Dark" pivot="0" table="0" count="2" xr9:uid="{51F6AAFE-A6A2-4D1B-994A-EE3C093D1FD8}">
      <tableStyleElement type="wholeTable" dxfId="14"/>
      <tableStyleElement type="headerRow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MasterTable" displayName="ProductMasterTable" ref="A1:H45" headerRowDxfId="12" dataDxfId="11" totalsRowDxfId="10">
  <autoFilter ref="A1:H45" xr:uid="{00000000-000C-0000-FFFF-FFFF00000000}"/>
  <sortState xmlns:xlrd2="http://schemas.microsoft.com/office/spreadsheetml/2017/richdata2" ref="A2:H35">
    <sortCondition ref="B1:B35"/>
  </sortState>
  <tableColumns count="8">
    <tableColumn id="1" xr3:uid="{00000000-0010-0000-0000-000001000000}" name="사용여부" dataDxfId="9"/>
    <tableColumn id="2" xr3:uid="{00000000-0010-0000-0000-000002000000}" name="품목코드" dataDxfId="8"/>
    <tableColumn id="3" xr3:uid="{00000000-0010-0000-0000-000003000000}" name="품목명(규격)" dataDxfId="7"/>
    <tableColumn id="4" xr3:uid="{00000000-0010-0000-0000-000004000000}" name="구분" dataDxfId="6"/>
    <tableColumn id="5" xr3:uid="{00000000-0010-0000-0000-000005000000}" name="공급단가(ERP)" dataDxfId="5"/>
    <tableColumn id="6" xr3:uid="{00000000-0010-0000-0000-000006000000}" name="제조원가(입력)" dataDxfId="4"/>
    <tableColumn id="7" xr3:uid="{00000000-0010-0000-0000-000007000000}" name="팩/단위" dataDxfId="3"/>
    <tableColumn id="8" xr3:uid="{00000000-0010-0000-0000-000008000000}" name="비고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ortTemplateTable" displayName="ReportTemplateTable" ref="A1:M200">
  <tableColumns count="13">
    <tableColumn id="1" xr3:uid="{00000000-0010-0000-0100-000001000000}" name="일자-No."/>
    <tableColumn id="2" xr3:uid="{00000000-0010-0000-0100-000002000000}" name="품목코드"/>
    <tableColumn id="3" xr3:uid="{00000000-0010-0000-0100-000003000000}" name="품목명(규격)"/>
    <tableColumn id="4" xr3:uid="{00000000-0010-0000-0100-000004000000}" name="수량"/>
    <tableColumn id="5" xr3:uid="{00000000-0010-0000-0100-000005000000}" name="단가"/>
    <tableColumn id="6" xr3:uid="{00000000-0010-0000-0100-000006000000}" name="공급가액"/>
    <tableColumn id="7" xr3:uid="{00000000-0010-0000-0100-000007000000}" name="부가세"/>
    <tableColumn id="8" xr3:uid="{00000000-0010-0000-0100-000008000000}" name="합계"/>
    <tableColumn id="9" xr3:uid="{00000000-0010-0000-0100-000009000000}" name="거래처명"/>
    <tableColumn id="10" xr3:uid="{00000000-0010-0000-0100-00000A000000}" name="제조원가(단위)"/>
    <tableColumn id="11" xr3:uid="{00000000-0010-0000-0100-00000B000000}" name="총제조원가"/>
    <tableColumn id="12" xr3:uid="{00000000-0010-0000-0100-00000C000000}" name="물류이익"/>
    <tableColumn id="13" xr3:uid="{00000000-0010-0000-0100-00000D000000}" name="마진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12" workbookViewId="0">
      <selection activeCell="C27" sqref="C27"/>
    </sheetView>
  </sheetViews>
  <sheetFormatPr defaultRowHeight="13.8"/>
  <cols>
    <col min="1" max="1" width="9" style="14" customWidth="1"/>
    <col min="2" max="2" width="13" style="14" customWidth="1"/>
    <col min="3" max="3" width="39.09765625" style="14" bestFit="1" customWidth="1"/>
    <col min="4" max="4" width="12" style="14" customWidth="1"/>
    <col min="5" max="5" width="14" style="14" customWidth="1"/>
    <col min="6" max="6" width="15" style="14" customWidth="1"/>
    <col min="7" max="7" width="12" style="14" customWidth="1"/>
    <col min="8" max="8" width="24" style="14" customWidth="1"/>
    <col min="9" max="16384" width="8.796875" style="7"/>
  </cols>
  <sheetData>
    <row r="1" spans="1:10" s="8" customFormat="1">
      <c r="A1" s="9" t="s">
        <v>0</v>
      </c>
      <c r="B1" s="9" t="s">
        <v>1</v>
      </c>
      <c r="C1" s="9" t="s">
        <v>102</v>
      </c>
      <c r="D1" s="9" t="s">
        <v>3</v>
      </c>
      <c r="E1" s="9" t="s">
        <v>103</v>
      </c>
      <c r="F1" s="9" t="s">
        <v>104</v>
      </c>
      <c r="G1" s="9" t="s">
        <v>105</v>
      </c>
      <c r="H1" s="9" t="s">
        <v>4</v>
      </c>
      <c r="J1" s="23"/>
    </row>
    <row r="2" spans="1:10">
      <c r="A2" s="10" t="s">
        <v>6</v>
      </c>
      <c r="B2" s="11" t="s">
        <v>81</v>
      </c>
      <c r="C2" s="10" t="s">
        <v>7</v>
      </c>
      <c r="D2" s="10" t="s">
        <v>7</v>
      </c>
      <c r="E2" s="12">
        <v>23000</v>
      </c>
      <c r="F2" s="12">
        <v>23000</v>
      </c>
      <c r="G2" s="10"/>
      <c r="H2" s="10"/>
      <c r="J2" s="23"/>
    </row>
    <row r="3" spans="1:10" ht="17.399999999999999">
      <c r="A3" s="10" t="s">
        <v>6</v>
      </c>
      <c r="B3" s="11" t="s">
        <v>80</v>
      </c>
      <c r="C3" s="13" t="s">
        <v>79</v>
      </c>
      <c r="D3" s="10" t="s">
        <v>7</v>
      </c>
      <c r="E3" s="12">
        <v>28000</v>
      </c>
      <c r="F3" s="12">
        <v>28000</v>
      </c>
      <c r="J3" s="23"/>
    </row>
    <row r="4" spans="1:10">
      <c r="A4" s="10" t="s">
        <v>6</v>
      </c>
      <c r="B4" s="10" t="s">
        <v>8</v>
      </c>
      <c r="C4" s="18" t="s">
        <v>106</v>
      </c>
      <c r="D4" s="10" t="s">
        <v>9</v>
      </c>
      <c r="E4" s="15">
        <v>41700</v>
      </c>
      <c r="F4" s="12">
        <v>20181</v>
      </c>
      <c r="G4" s="18" t="s">
        <v>138</v>
      </c>
      <c r="H4" s="10"/>
      <c r="J4" s="23"/>
    </row>
    <row r="5" spans="1:10">
      <c r="A5" s="10" t="s">
        <v>6</v>
      </c>
      <c r="B5" s="10" t="s">
        <v>10</v>
      </c>
      <c r="C5" s="18" t="s">
        <v>107</v>
      </c>
      <c r="D5" s="10" t="s">
        <v>9</v>
      </c>
      <c r="E5" s="15">
        <v>36000</v>
      </c>
      <c r="F5" s="12">
        <v>19973</v>
      </c>
      <c r="G5" s="18" t="s">
        <v>138</v>
      </c>
      <c r="H5" s="10"/>
      <c r="J5" s="23"/>
    </row>
    <row r="6" spans="1:10">
      <c r="A6" s="10" t="s">
        <v>6</v>
      </c>
      <c r="B6" s="10" t="s">
        <v>11</v>
      </c>
      <c r="C6" s="18" t="s">
        <v>108</v>
      </c>
      <c r="D6" s="10" t="s">
        <v>9</v>
      </c>
      <c r="E6" s="15">
        <v>26800</v>
      </c>
      <c r="F6" s="12">
        <v>18445</v>
      </c>
      <c r="G6" s="18" t="s">
        <v>138</v>
      </c>
      <c r="H6" s="10"/>
      <c r="J6" s="23"/>
    </row>
    <row r="7" spans="1:10">
      <c r="A7" s="10" t="s">
        <v>6</v>
      </c>
      <c r="B7" s="10" t="s">
        <v>12</v>
      </c>
      <c r="C7" s="18" t="s">
        <v>109</v>
      </c>
      <c r="D7" s="10" t="s">
        <v>9</v>
      </c>
      <c r="E7" s="15">
        <v>18000</v>
      </c>
      <c r="F7" s="12">
        <v>6703</v>
      </c>
      <c r="G7" s="18" t="s">
        <v>138</v>
      </c>
      <c r="H7" s="10"/>
      <c r="J7" s="23"/>
    </row>
    <row r="8" spans="1:10">
      <c r="A8" s="10" t="s">
        <v>6</v>
      </c>
      <c r="B8" s="10" t="s">
        <v>13</v>
      </c>
      <c r="C8" s="18" t="s">
        <v>110</v>
      </c>
      <c r="D8" s="10" t="s">
        <v>9</v>
      </c>
      <c r="E8" s="15">
        <v>29000</v>
      </c>
      <c r="F8" s="12">
        <v>15545</v>
      </c>
      <c r="G8" s="18" t="s">
        <v>138</v>
      </c>
      <c r="H8" s="10"/>
      <c r="J8" s="23"/>
    </row>
    <row r="9" spans="1:10" ht="17.399999999999999" customHeight="1">
      <c r="A9" s="10" t="s">
        <v>6</v>
      </c>
      <c r="B9" s="10" t="s">
        <v>14</v>
      </c>
      <c r="C9" s="18" t="s">
        <v>111</v>
      </c>
      <c r="D9" s="10" t="s">
        <v>9</v>
      </c>
      <c r="E9" s="15">
        <v>29000</v>
      </c>
      <c r="F9" s="12">
        <v>13240</v>
      </c>
      <c r="G9" s="18" t="s">
        <v>138</v>
      </c>
      <c r="H9" s="10"/>
      <c r="J9" s="23"/>
    </row>
    <row r="10" spans="1:10">
      <c r="A10" s="10" t="s">
        <v>6</v>
      </c>
      <c r="B10" s="10" t="s">
        <v>15</v>
      </c>
      <c r="C10" s="18" t="s">
        <v>112</v>
      </c>
      <c r="D10" s="10" t="s">
        <v>9</v>
      </c>
      <c r="E10" s="15">
        <v>85756</v>
      </c>
      <c r="F10" s="12">
        <v>34600</v>
      </c>
      <c r="G10" s="18" t="s">
        <v>138</v>
      </c>
      <c r="H10" s="10"/>
      <c r="J10" s="23"/>
    </row>
    <row r="11" spans="1:10">
      <c r="A11" s="10" t="s">
        <v>6</v>
      </c>
      <c r="B11" s="10" t="s">
        <v>16</v>
      </c>
      <c r="C11" s="18" t="s">
        <v>113</v>
      </c>
      <c r="D11" s="10" t="s">
        <v>9</v>
      </c>
      <c r="E11" s="15">
        <v>20835</v>
      </c>
      <c r="F11" s="12">
        <v>7810</v>
      </c>
      <c r="G11" s="18" t="s">
        <v>138</v>
      </c>
      <c r="H11" s="10"/>
      <c r="J11" s="24"/>
    </row>
    <row r="12" spans="1:10">
      <c r="A12" s="10" t="s">
        <v>6</v>
      </c>
      <c r="B12" s="10" t="s">
        <v>17</v>
      </c>
      <c r="C12" s="18" t="s">
        <v>114</v>
      </c>
      <c r="D12" s="10" t="s">
        <v>9</v>
      </c>
      <c r="E12" s="15">
        <v>56200</v>
      </c>
      <c r="F12" s="12">
        <v>26083</v>
      </c>
      <c r="G12" s="18" t="s">
        <v>138</v>
      </c>
      <c r="H12" s="10"/>
      <c r="J12" s="24"/>
    </row>
    <row r="13" spans="1:10">
      <c r="A13" s="10" t="s">
        <v>6</v>
      </c>
      <c r="B13" s="10" t="s">
        <v>18</v>
      </c>
      <c r="C13" s="18" t="s">
        <v>115</v>
      </c>
      <c r="D13" s="10" t="s">
        <v>9</v>
      </c>
      <c r="E13" s="15">
        <v>36300</v>
      </c>
      <c r="F13" s="12">
        <v>15032</v>
      </c>
      <c r="G13" s="18" t="s">
        <v>138</v>
      </c>
      <c r="H13" s="10"/>
      <c r="J13" s="24"/>
    </row>
    <row r="14" spans="1:10">
      <c r="A14" s="10" t="s">
        <v>6</v>
      </c>
      <c r="B14" s="10" t="s">
        <v>19</v>
      </c>
      <c r="C14" s="18" t="s">
        <v>116</v>
      </c>
      <c r="D14" s="10" t="s">
        <v>9</v>
      </c>
      <c r="E14" s="15">
        <v>43200</v>
      </c>
      <c r="F14" s="16">
        <v>17850</v>
      </c>
      <c r="G14" s="18" t="s">
        <v>138</v>
      </c>
      <c r="H14" s="10"/>
      <c r="J14" s="24"/>
    </row>
    <row r="15" spans="1:10">
      <c r="A15" s="10" t="s">
        <v>6</v>
      </c>
      <c r="B15" s="10" t="s">
        <v>20</v>
      </c>
      <c r="C15" s="18" t="s">
        <v>117</v>
      </c>
      <c r="D15" s="10" t="s">
        <v>9</v>
      </c>
      <c r="E15" s="15">
        <v>31900</v>
      </c>
      <c r="F15" s="16">
        <v>7300</v>
      </c>
      <c r="G15" s="18" t="s">
        <v>138</v>
      </c>
      <c r="H15" s="10"/>
      <c r="J15" s="24"/>
    </row>
    <row r="16" spans="1:10">
      <c r="A16" s="10" t="s">
        <v>6</v>
      </c>
      <c r="B16" s="10" t="s">
        <v>21</v>
      </c>
      <c r="C16" s="18" t="s">
        <v>118</v>
      </c>
      <c r="D16" s="10" t="s">
        <v>9</v>
      </c>
      <c r="E16" s="15">
        <v>27700</v>
      </c>
      <c r="F16" s="16">
        <v>4125</v>
      </c>
      <c r="G16" s="18" t="s">
        <v>139</v>
      </c>
      <c r="H16" s="10"/>
      <c r="J16" s="24"/>
    </row>
    <row r="17" spans="1:10">
      <c r="A17" s="10" t="s">
        <v>6</v>
      </c>
      <c r="B17" s="10" t="s">
        <v>22</v>
      </c>
      <c r="C17" s="18" t="s">
        <v>119</v>
      </c>
      <c r="D17" s="10" t="s">
        <v>9</v>
      </c>
      <c r="E17" s="15">
        <v>89200</v>
      </c>
      <c r="F17" s="16">
        <v>11670</v>
      </c>
      <c r="G17" s="18" t="s">
        <v>140</v>
      </c>
      <c r="H17" s="10"/>
      <c r="J17" s="24"/>
    </row>
    <row r="18" spans="1:10">
      <c r="A18" s="10" t="s">
        <v>6</v>
      </c>
      <c r="B18" s="10" t="s">
        <v>23</v>
      </c>
      <c r="C18" s="18" t="s">
        <v>120</v>
      </c>
      <c r="D18" s="10" t="s">
        <v>9</v>
      </c>
      <c r="E18" s="15">
        <v>22000</v>
      </c>
      <c r="F18" s="16">
        <v>9180</v>
      </c>
      <c r="G18" s="18" t="s">
        <v>140</v>
      </c>
      <c r="H18" s="10"/>
      <c r="J18" s="24"/>
    </row>
    <row r="19" spans="1:10">
      <c r="A19" s="10" t="s">
        <v>6</v>
      </c>
      <c r="B19" s="10" t="s">
        <v>24</v>
      </c>
      <c r="C19" s="18" t="s">
        <v>121</v>
      </c>
      <c r="D19" s="10" t="s">
        <v>9</v>
      </c>
      <c r="E19" s="15">
        <v>20000</v>
      </c>
      <c r="F19" s="16">
        <v>10350</v>
      </c>
      <c r="G19" s="18" t="s">
        <v>140</v>
      </c>
      <c r="H19" s="10"/>
      <c r="J19" s="24"/>
    </row>
    <row r="20" spans="1:10">
      <c r="A20" s="10" t="s">
        <v>6</v>
      </c>
      <c r="B20" s="10" t="s">
        <v>25</v>
      </c>
      <c r="C20" s="18" t="s">
        <v>122</v>
      </c>
      <c r="D20" s="10" t="s">
        <v>9</v>
      </c>
      <c r="E20" s="15">
        <v>13500</v>
      </c>
      <c r="F20" s="16">
        <v>7000</v>
      </c>
      <c r="G20" s="18" t="s">
        <v>140</v>
      </c>
      <c r="H20" s="10"/>
      <c r="J20" s="24"/>
    </row>
    <row r="21" spans="1:10">
      <c r="A21" s="10" t="s">
        <v>6</v>
      </c>
      <c r="B21" s="10" t="s">
        <v>26</v>
      </c>
      <c r="C21" s="18" t="s">
        <v>123</v>
      </c>
      <c r="D21" s="10" t="s">
        <v>9</v>
      </c>
      <c r="E21" s="15">
        <v>70000</v>
      </c>
      <c r="F21" s="16">
        <v>18106</v>
      </c>
      <c r="G21" s="18" t="s">
        <v>140</v>
      </c>
      <c r="H21" s="10"/>
      <c r="J21" s="24"/>
    </row>
    <row r="22" spans="1:10">
      <c r="A22" s="10" t="s">
        <v>6</v>
      </c>
      <c r="B22" s="10" t="s">
        <v>27</v>
      </c>
      <c r="C22" s="18" t="s">
        <v>124</v>
      </c>
      <c r="D22" s="10" t="s">
        <v>9</v>
      </c>
      <c r="E22" s="15">
        <v>22400</v>
      </c>
      <c r="F22" s="16">
        <v>3328</v>
      </c>
      <c r="G22" s="18" t="s">
        <v>141</v>
      </c>
      <c r="H22" s="10"/>
      <c r="J22" s="24"/>
    </row>
    <row r="23" spans="1:10">
      <c r="A23" s="10" t="s">
        <v>6</v>
      </c>
      <c r="B23" s="10" t="s">
        <v>28</v>
      </c>
      <c r="C23" s="18" t="s">
        <v>125</v>
      </c>
      <c r="D23" s="10" t="s">
        <v>9</v>
      </c>
      <c r="E23" s="15">
        <v>24000</v>
      </c>
      <c r="F23" s="16">
        <v>20435</v>
      </c>
      <c r="G23" s="18" t="s">
        <v>138</v>
      </c>
      <c r="H23" s="10"/>
      <c r="J23" s="24"/>
    </row>
    <row r="24" spans="1:10">
      <c r="A24" s="10" t="s">
        <v>6</v>
      </c>
      <c r="B24" s="10" t="s">
        <v>29</v>
      </c>
      <c r="C24" s="18" t="s">
        <v>126</v>
      </c>
      <c r="D24" s="10" t="s">
        <v>9</v>
      </c>
      <c r="E24" s="15">
        <v>78000</v>
      </c>
      <c r="F24" s="16">
        <v>72000</v>
      </c>
      <c r="G24" s="18" t="s">
        <v>142</v>
      </c>
      <c r="H24" s="10"/>
      <c r="J24" s="24"/>
    </row>
    <row r="25" spans="1:10">
      <c r="A25" s="10" t="s">
        <v>6</v>
      </c>
      <c r="B25" s="10" t="s">
        <v>30</v>
      </c>
      <c r="C25" s="18" t="s">
        <v>127</v>
      </c>
      <c r="D25" s="10" t="s">
        <v>9</v>
      </c>
      <c r="E25" s="15">
        <v>22000</v>
      </c>
      <c r="F25" s="16">
        <v>10761</v>
      </c>
      <c r="G25" s="18" t="s">
        <v>140</v>
      </c>
      <c r="H25" s="10"/>
      <c r="J25" s="24"/>
    </row>
    <row r="26" spans="1:10">
      <c r="A26" s="10" t="s">
        <v>6</v>
      </c>
      <c r="B26" s="10" t="s">
        <v>31</v>
      </c>
      <c r="C26" s="18" t="s">
        <v>128</v>
      </c>
      <c r="D26" s="10" t="s">
        <v>9</v>
      </c>
      <c r="E26" s="15">
        <v>22000</v>
      </c>
      <c r="F26" s="16">
        <v>9967</v>
      </c>
      <c r="G26" s="18" t="s">
        <v>140</v>
      </c>
      <c r="H26" s="10"/>
      <c r="J26" s="24"/>
    </row>
    <row r="27" spans="1:10">
      <c r="A27" s="10" t="s">
        <v>6</v>
      </c>
      <c r="B27" s="10" t="s">
        <v>32</v>
      </c>
      <c r="C27" s="18" t="s">
        <v>129</v>
      </c>
      <c r="D27" s="10" t="s">
        <v>9</v>
      </c>
      <c r="E27" s="15">
        <v>43200</v>
      </c>
      <c r="F27" s="16">
        <v>24107</v>
      </c>
      <c r="G27" s="18" t="s">
        <v>143</v>
      </c>
      <c r="H27" s="10"/>
      <c r="J27" s="24"/>
    </row>
    <row r="28" spans="1:10" ht="17.399999999999999" customHeight="1">
      <c r="A28" s="10" t="s">
        <v>6</v>
      </c>
      <c r="B28" s="10" t="s">
        <v>33</v>
      </c>
      <c r="C28" s="18" t="s">
        <v>130</v>
      </c>
      <c r="D28" s="10" t="s">
        <v>9</v>
      </c>
      <c r="E28" s="15">
        <v>20150</v>
      </c>
      <c r="F28" s="16">
        <v>18150</v>
      </c>
      <c r="G28" s="18" t="s">
        <v>144</v>
      </c>
      <c r="H28" s="10"/>
      <c r="J28" s="25"/>
    </row>
    <row r="29" spans="1:10">
      <c r="A29" s="10" t="s">
        <v>6</v>
      </c>
      <c r="B29" s="10" t="s">
        <v>34</v>
      </c>
      <c r="C29" s="18" t="s">
        <v>131</v>
      </c>
      <c r="D29" s="10" t="s">
        <v>9</v>
      </c>
      <c r="E29" s="15">
        <v>126000</v>
      </c>
      <c r="F29" s="16">
        <v>120000</v>
      </c>
      <c r="G29" s="18" t="s">
        <v>145</v>
      </c>
      <c r="H29" s="10"/>
      <c r="J29" s="24"/>
    </row>
    <row r="30" spans="1:10">
      <c r="A30" s="10" t="s">
        <v>6</v>
      </c>
      <c r="B30" s="10" t="s">
        <v>35</v>
      </c>
      <c r="C30" s="18" t="s">
        <v>132</v>
      </c>
      <c r="D30" s="10" t="s">
        <v>9</v>
      </c>
      <c r="E30" s="15">
        <v>40200</v>
      </c>
      <c r="F30" s="16">
        <v>35200</v>
      </c>
      <c r="G30" s="18" t="s">
        <v>146</v>
      </c>
      <c r="H30" s="10"/>
      <c r="J30" s="24"/>
    </row>
    <row r="31" spans="1:10" ht="13.8" customHeight="1">
      <c r="A31" s="14" t="s">
        <v>6</v>
      </c>
      <c r="B31" s="10" t="s">
        <v>78</v>
      </c>
      <c r="C31" s="18" t="s">
        <v>133</v>
      </c>
      <c r="D31" s="10" t="s">
        <v>9</v>
      </c>
      <c r="E31" s="15">
        <v>98000</v>
      </c>
      <c r="F31" s="14">
        <v>88000</v>
      </c>
      <c r="G31" s="18" t="s">
        <v>147</v>
      </c>
      <c r="J31" s="24"/>
    </row>
    <row r="32" spans="1:10">
      <c r="A32" s="10" t="s">
        <v>6</v>
      </c>
      <c r="B32" s="10" t="s">
        <v>36</v>
      </c>
      <c r="C32" s="18" t="s">
        <v>134</v>
      </c>
      <c r="D32" s="10" t="s">
        <v>9</v>
      </c>
      <c r="E32" s="15">
        <v>150000</v>
      </c>
      <c r="F32" s="16">
        <v>125000</v>
      </c>
      <c r="G32" s="18" t="s">
        <v>147</v>
      </c>
      <c r="H32" s="10"/>
      <c r="J32" s="24"/>
    </row>
    <row r="33" spans="1:10" ht="17.399999999999999" customHeight="1">
      <c r="A33" s="10" t="s">
        <v>6</v>
      </c>
      <c r="B33" s="10" t="s">
        <v>37</v>
      </c>
      <c r="C33" s="18" t="s">
        <v>135</v>
      </c>
      <c r="D33" s="10" t="s">
        <v>9</v>
      </c>
      <c r="E33" s="15">
        <v>65000</v>
      </c>
      <c r="F33" s="16">
        <v>62000</v>
      </c>
      <c r="G33" s="18" t="s">
        <v>148</v>
      </c>
      <c r="H33" s="10"/>
      <c r="J33" s="25"/>
    </row>
    <row r="34" spans="1:10">
      <c r="A34" s="10" t="s">
        <v>6</v>
      </c>
      <c r="B34" s="10" t="s">
        <v>38</v>
      </c>
      <c r="C34" s="18" t="s">
        <v>136</v>
      </c>
      <c r="D34" s="10" t="s">
        <v>9</v>
      </c>
      <c r="E34" s="15">
        <v>54000</v>
      </c>
      <c r="F34" s="16">
        <v>50000</v>
      </c>
      <c r="G34" s="18" t="s">
        <v>149</v>
      </c>
      <c r="H34" s="10"/>
      <c r="J34" s="25"/>
    </row>
    <row r="35" spans="1:10" ht="17.399999999999999" customHeight="1">
      <c r="A35" s="10" t="s">
        <v>6</v>
      </c>
      <c r="B35" s="10" t="s">
        <v>39</v>
      </c>
      <c r="C35" s="18" t="s">
        <v>137</v>
      </c>
      <c r="D35" s="10" t="s">
        <v>9</v>
      </c>
      <c r="E35" s="15">
        <v>96000</v>
      </c>
      <c r="F35" s="16">
        <v>44000</v>
      </c>
      <c r="G35" s="18" t="s">
        <v>150</v>
      </c>
      <c r="H35" s="10"/>
      <c r="J35" s="25"/>
    </row>
    <row r="36" spans="1:10">
      <c r="A36" s="10" t="s">
        <v>6</v>
      </c>
      <c r="B36" s="17" t="s">
        <v>82</v>
      </c>
      <c r="C36" s="18" t="s">
        <v>83</v>
      </c>
      <c r="D36" s="10" t="s">
        <v>9</v>
      </c>
      <c r="E36" s="15">
        <v>50000</v>
      </c>
      <c r="F36" s="14">
        <v>23611</v>
      </c>
      <c r="G36" s="18" t="s">
        <v>138</v>
      </c>
      <c r="J36" s="25"/>
    </row>
    <row r="37" spans="1:10">
      <c r="A37" s="10" t="s">
        <v>6</v>
      </c>
      <c r="B37" s="17" t="s">
        <v>84</v>
      </c>
      <c r="C37" s="18" t="s">
        <v>85</v>
      </c>
      <c r="D37" s="10" t="s">
        <v>9</v>
      </c>
      <c r="E37" s="15">
        <v>61500</v>
      </c>
      <c r="F37" s="14">
        <v>22775</v>
      </c>
      <c r="G37" s="18" t="s">
        <v>141</v>
      </c>
      <c r="J37" s="25"/>
    </row>
    <row r="38" spans="1:10">
      <c r="A38" s="10" t="s">
        <v>6</v>
      </c>
      <c r="B38" s="17" t="s">
        <v>86</v>
      </c>
      <c r="C38" s="18" t="s">
        <v>87</v>
      </c>
      <c r="D38" s="10" t="s">
        <v>9</v>
      </c>
      <c r="E38" s="15">
        <v>26000</v>
      </c>
      <c r="F38" s="14">
        <v>12600</v>
      </c>
      <c r="G38" s="18" t="s">
        <v>138</v>
      </c>
      <c r="J38" s="25"/>
    </row>
    <row r="39" spans="1:10">
      <c r="A39" s="10" t="s">
        <v>6</v>
      </c>
      <c r="B39" s="17" t="s">
        <v>88</v>
      </c>
      <c r="C39" s="18" t="s">
        <v>89</v>
      </c>
      <c r="D39" s="10" t="s">
        <v>9</v>
      </c>
      <c r="E39" s="15">
        <v>38000</v>
      </c>
      <c r="F39" s="14">
        <v>37500</v>
      </c>
      <c r="G39" s="18" t="s">
        <v>151</v>
      </c>
      <c r="J39" s="25"/>
    </row>
    <row r="40" spans="1:10">
      <c r="A40" s="10" t="s">
        <v>6</v>
      </c>
      <c r="B40" s="17" t="s">
        <v>90</v>
      </c>
      <c r="C40" s="18" t="s">
        <v>91</v>
      </c>
      <c r="D40" s="10" t="s">
        <v>9</v>
      </c>
      <c r="E40" s="15">
        <v>14000</v>
      </c>
      <c r="F40" s="14">
        <v>6396</v>
      </c>
      <c r="G40" s="18" t="s">
        <v>141</v>
      </c>
      <c r="J40" s="25"/>
    </row>
    <row r="41" spans="1:10">
      <c r="A41" s="10" t="s">
        <v>6</v>
      </c>
      <c r="B41" s="17" t="s">
        <v>92</v>
      </c>
      <c r="C41" s="18" t="s">
        <v>93</v>
      </c>
      <c r="D41" s="10" t="s">
        <v>9</v>
      </c>
      <c r="E41" s="15">
        <v>12900</v>
      </c>
      <c r="F41" s="14">
        <v>11900</v>
      </c>
      <c r="G41" s="18" t="s">
        <v>152</v>
      </c>
      <c r="J41" s="25"/>
    </row>
    <row r="42" spans="1:10">
      <c r="A42" s="10" t="s">
        <v>6</v>
      </c>
      <c r="B42" s="17" t="s">
        <v>94</v>
      </c>
      <c r="C42" s="18" t="s">
        <v>95</v>
      </c>
      <c r="D42" s="10" t="s">
        <v>9</v>
      </c>
      <c r="E42" s="15">
        <v>19900</v>
      </c>
      <c r="F42" s="14">
        <v>18900</v>
      </c>
      <c r="G42" s="18" t="s">
        <v>153</v>
      </c>
      <c r="J42" s="25"/>
    </row>
    <row r="43" spans="1:10">
      <c r="A43" s="10" t="s">
        <v>6</v>
      </c>
      <c r="B43" s="17" t="s">
        <v>96</v>
      </c>
      <c r="C43" s="18" t="s">
        <v>97</v>
      </c>
      <c r="D43" s="10" t="s">
        <v>9</v>
      </c>
      <c r="E43" s="15">
        <v>22000</v>
      </c>
      <c r="F43" s="14">
        <v>1</v>
      </c>
      <c r="G43" s="18" t="s">
        <v>140</v>
      </c>
    </row>
    <row r="44" spans="1:10">
      <c r="A44" s="10" t="s">
        <v>6</v>
      </c>
      <c r="B44" s="17" t="s">
        <v>98</v>
      </c>
      <c r="C44" s="18" t="s">
        <v>99</v>
      </c>
      <c r="D44" s="10" t="s">
        <v>9</v>
      </c>
      <c r="E44" s="15">
        <v>22000</v>
      </c>
      <c r="F44" s="14">
        <v>1</v>
      </c>
      <c r="G44" s="18" t="s">
        <v>140</v>
      </c>
    </row>
    <row r="45" spans="1:10">
      <c r="A45" s="10" t="s">
        <v>6</v>
      </c>
      <c r="B45" s="17" t="s">
        <v>100</v>
      </c>
      <c r="C45" s="18" t="s">
        <v>101</v>
      </c>
      <c r="D45" s="10" t="s">
        <v>9</v>
      </c>
      <c r="E45" s="15">
        <v>25200</v>
      </c>
      <c r="F45" s="14">
        <v>12600</v>
      </c>
      <c r="G45" s="18" t="s">
        <v>154</v>
      </c>
    </row>
  </sheetData>
  <phoneticPr fontId="5" type="noConversion"/>
  <conditionalFormatting sqref="F2:F45">
    <cfRule type="expression" dxfId="2" priority="2">
      <formula>AND($A2="Y",$F2="")</formula>
    </cfRule>
  </conditionalFormatting>
  <conditionalFormatting sqref="J1:J42">
    <cfRule type="expression" dxfId="1" priority="1">
      <formula>AND($A1="Y",$F1="")</formula>
    </cfRule>
  </conditionalFormatting>
  <dataValidations count="2">
    <dataValidation type="list" sqref="A2:A45" xr:uid="{00000000-0002-0000-0000-000000000000}">
      <formula1>"Y,N"</formula1>
    </dataValidation>
    <dataValidation type="list" sqref="D2:D45" xr:uid="{00000000-0002-0000-0000-000001000000}">
      <formula1>"본사제조,OEM,외부상품,배송비,기타"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3.8"/>
  <cols>
    <col min="1" max="1" width="12" customWidth="1"/>
    <col min="2" max="2" width="78" customWidth="1"/>
  </cols>
  <sheetData>
    <row r="1" spans="1:2" ht="14.4">
      <c r="A1" s="19" t="s">
        <v>40</v>
      </c>
      <c r="B1" s="20"/>
    </row>
    <row r="2" spans="1:2">
      <c r="A2" s="6" t="s">
        <v>41</v>
      </c>
      <c r="B2" s="2" t="s">
        <v>42</v>
      </c>
    </row>
    <row r="3" spans="1:2">
      <c r="A3" s="6" t="s">
        <v>43</v>
      </c>
      <c r="B3" s="2" t="s">
        <v>44</v>
      </c>
    </row>
    <row r="4" spans="1:2">
      <c r="A4" s="6" t="s">
        <v>45</v>
      </c>
      <c r="B4" s="2" t="s">
        <v>46</v>
      </c>
    </row>
    <row r="5" spans="1:2" ht="27.6">
      <c r="A5" s="6" t="s">
        <v>47</v>
      </c>
      <c r="B5" s="2" t="s">
        <v>48</v>
      </c>
    </row>
    <row r="6" spans="1:2">
      <c r="A6" s="6" t="s">
        <v>49</v>
      </c>
      <c r="B6" s="2" t="s">
        <v>50</v>
      </c>
    </row>
    <row r="7" spans="1:2">
      <c r="A7" s="6" t="s">
        <v>51</v>
      </c>
      <c r="B7" s="2" t="s">
        <v>52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0"/>
  <sheetViews>
    <sheetView workbookViewId="0"/>
  </sheetViews>
  <sheetFormatPr defaultRowHeight="13.8"/>
  <cols>
    <col min="1" max="1" width="16" customWidth="1"/>
    <col min="2" max="2" width="13" customWidth="1"/>
    <col min="3" max="3" width="36" customWidth="1"/>
    <col min="4" max="4" width="10" customWidth="1"/>
    <col min="5" max="5" width="12" customWidth="1"/>
    <col min="6" max="6" width="13" customWidth="1"/>
    <col min="7" max="8" width="12" customWidth="1"/>
    <col min="9" max="9" width="18" customWidth="1"/>
    <col min="10" max="12" width="15" customWidth="1"/>
    <col min="13" max="13" width="10" customWidth="1"/>
    <col min="15" max="16" width="26" customWidth="1"/>
  </cols>
  <sheetData>
    <row r="1" spans="1:21">
      <c r="A1" s="1" t="s">
        <v>53</v>
      </c>
      <c r="B1" s="1" t="s">
        <v>1</v>
      </c>
      <c r="C1" s="1" t="s">
        <v>2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5</v>
      </c>
      <c r="O1" s="21" t="s">
        <v>63</v>
      </c>
      <c r="P1" s="22"/>
      <c r="Q1" s="22"/>
      <c r="R1" s="22"/>
      <c r="S1" s="22"/>
      <c r="T1" s="22"/>
      <c r="U1" s="22"/>
    </row>
    <row r="2" spans="1:21">
      <c r="D2" s="3"/>
      <c r="E2" s="3"/>
      <c r="F2" s="3"/>
      <c r="G2" s="3"/>
      <c r="H2" s="3"/>
      <c r="J2" s="3" t="str">
        <f ca="1">IFERROR(_xludf.XLOOKUP(B2,PRODUCT_MASTER!C2,PRODUCT_MASTER!C6),"")</f>
        <v/>
      </c>
      <c r="K2" s="3" t="str">
        <f t="shared" ref="K2:K33" ca="1" si="0">IFERROR(D2*J2,"")</f>
        <v/>
      </c>
      <c r="L2" s="3" t="str">
        <f t="shared" ref="L2:L33" ca="1" si="1">IFERROR(F2-K2,"")</f>
        <v/>
      </c>
      <c r="M2" s="4" t="str">
        <f t="shared" ref="M2:M33" ca="1" si="2">IFERROR(L2/F2,"")</f>
        <v/>
      </c>
      <c r="O2" s="5" t="s">
        <v>64</v>
      </c>
      <c r="P2" s="5" t="s">
        <v>65</v>
      </c>
    </row>
    <row r="3" spans="1:21">
      <c r="D3" s="3"/>
      <c r="E3" s="3"/>
      <c r="F3" s="3"/>
      <c r="G3" s="3"/>
      <c r="H3" s="3"/>
      <c r="J3" s="3" t="str">
        <f ca="1">IFERROR(_xludf.XLOOKUP(B3,PRODUCT_MASTER!C2,PRODUCT_MASTER!C6),"")</f>
        <v/>
      </c>
      <c r="K3" s="3" t="str">
        <f t="shared" ca="1" si="0"/>
        <v/>
      </c>
      <c r="L3" s="3" t="str">
        <f t="shared" ca="1" si="1"/>
        <v/>
      </c>
      <c r="M3" s="4" t="str">
        <f t="shared" ca="1" si="2"/>
        <v/>
      </c>
      <c r="O3" t="s">
        <v>66</v>
      </c>
      <c r="P3" t="s">
        <v>67</v>
      </c>
    </row>
    <row r="4" spans="1:21">
      <c r="D4" s="3"/>
      <c r="E4" s="3"/>
      <c r="F4" s="3"/>
      <c r="G4" s="3"/>
      <c r="H4" s="3"/>
      <c r="J4" s="3" t="str">
        <f ca="1">IFERROR(_xludf.XLOOKUP(B4,PRODUCT_MASTER!C2,PRODUCT_MASTER!C6),"")</f>
        <v/>
      </c>
      <c r="K4" s="3" t="str">
        <f t="shared" ca="1" si="0"/>
        <v/>
      </c>
      <c r="L4" s="3" t="str">
        <f t="shared" ca="1" si="1"/>
        <v/>
      </c>
      <c r="M4" s="4" t="str">
        <f t="shared" ca="1" si="2"/>
        <v/>
      </c>
      <c r="O4" t="s">
        <v>68</v>
      </c>
      <c r="P4" t="s">
        <v>69</v>
      </c>
    </row>
    <row r="5" spans="1:21">
      <c r="D5" s="3"/>
      <c r="E5" s="3"/>
      <c r="F5" s="3"/>
      <c r="G5" s="3"/>
      <c r="H5" s="3"/>
      <c r="J5" s="3" t="str">
        <f ca="1">IFERROR(_xludf.XLOOKUP(B5,PRODUCT_MASTER!C2,PRODUCT_MASTER!C6),"")</f>
        <v/>
      </c>
      <c r="K5" s="3" t="str">
        <f t="shared" ca="1" si="0"/>
        <v/>
      </c>
      <c r="L5" s="3" t="str">
        <f t="shared" ca="1" si="1"/>
        <v/>
      </c>
      <c r="M5" s="4" t="str">
        <f t="shared" ca="1" si="2"/>
        <v/>
      </c>
      <c r="O5" t="s">
        <v>70</v>
      </c>
      <c r="P5" t="s">
        <v>71</v>
      </c>
    </row>
    <row r="6" spans="1:21">
      <c r="D6" s="3"/>
      <c r="E6" s="3"/>
      <c r="F6" s="3"/>
      <c r="G6" s="3"/>
      <c r="H6" s="3"/>
      <c r="J6" s="3" t="str">
        <f ca="1">IFERROR(_xludf.XLOOKUP(B6,PRODUCT_MASTER!C2,PRODUCT_MASTER!C6),"")</f>
        <v/>
      </c>
      <c r="K6" s="3" t="str">
        <f t="shared" ca="1" si="0"/>
        <v/>
      </c>
      <c r="L6" s="3" t="str">
        <f t="shared" ca="1" si="1"/>
        <v/>
      </c>
      <c r="M6" s="4" t="str">
        <f t="shared" ca="1" si="2"/>
        <v/>
      </c>
      <c r="O6" t="s">
        <v>72</v>
      </c>
      <c r="P6" t="s">
        <v>73</v>
      </c>
    </row>
    <row r="7" spans="1:21">
      <c r="D7" s="3"/>
      <c r="E7" s="3"/>
      <c r="F7" s="3"/>
      <c r="G7" s="3"/>
      <c r="H7" s="3"/>
      <c r="J7" s="3" t="str">
        <f ca="1">IFERROR(_xludf.XLOOKUP(B7,PRODUCT_MASTER!C2,PRODUCT_MASTER!C6),"")</f>
        <v/>
      </c>
      <c r="K7" s="3" t="str">
        <f t="shared" ca="1" si="0"/>
        <v/>
      </c>
      <c r="L7" s="3" t="str">
        <f t="shared" ca="1" si="1"/>
        <v/>
      </c>
      <c r="M7" s="4" t="str">
        <f t="shared" ca="1" si="2"/>
        <v/>
      </c>
      <c r="O7" t="s">
        <v>74</v>
      </c>
      <c r="P7" t="s">
        <v>75</v>
      </c>
    </row>
    <row r="8" spans="1:21">
      <c r="D8" s="3"/>
      <c r="E8" s="3"/>
      <c r="F8" s="3"/>
      <c r="G8" s="3"/>
      <c r="H8" s="3"/>
      <c r="J8" s="3" t="str">
        <f ca="1">IFERROR(_xludf.XLOOKUP(B8,PRODUCT_MASTER!C2,PRODUCT_MASTER!C6),"")</f>
        <v/>
      </c>
      <c r="K8" s="3" t="str">
        <f t="shared" ca="1" si="0"/>
        <v/>
      </c>
      <c r="L8" s="3" t="str">
        <f t="shared" ca="1" si="1"/>
        <v/>
      </c>
      <c r="M8" s="4" t="str">
        <f t="shared" ca="1" si="2"/>
        <v/>
      </c>
      <c r="O8" t="s">
        <v>76</v>
      </c>
      <c r="P8" t="s">
        <v>77</v>
      </c>
    </row>
    <row r="9" spans="1:21">
      <c r="D9" s="3"/>
      <c r="E9" s="3"/>
      <c r="F9" s="3"/>
      <c r="G9" s="3"/>
      <c r="H9" s="3"/>
      <c r="J9" s="3" t="str">
        <f ca="1">IFERROR(_xludf.XLOOKUP(B9,PRODUCT_MASTER!C2,PRODUCT_MASTER!C6),"")</f>
        <v/>
      </c>
      <c r="K9" s="3" t="str">
        <f t="shared" ca="1" si="0"/>
        <v/>
      </c>
      <c r="L9" s="3" t="str">
        <f t="shared" ca="1" si="1"/>
        <v/>
      </c>
      <c r="M9" s="4" t="str">
        <f t="shared" ca="1" si="2"/>
        <v/>
      </c>
    </row>
    <row r="10" spans="1:21">
      <c r="D10" s="3"/>
      <c r="E10" s="3"/>
      <c r="F10" s="3"/>
      <c r="G10" s="3"/>
      <c r="H10" s="3"/>
      <c r="J10" s="3" t="str">
        <f ca="1">IFERROR(_xludf.XLOOKUP(B10,PRODUCT_MASTER!C2,PRODUCT_MASTER!C6),"")</f>
        <v/>
      </c>
      <c r="K10" s="3" t="str">
        <f t="shared" ca="1" si="0"/>
        <v/>
      </c>
      <c r="L10" s="3" t="str">
        <f t="shared" ca="1" si="1"/>
        <v/>
      </c>
      <c r="M10" s="4" t="str">
        <f t="shared" ca="1" si="2"/>
        <v/>
      </c>
    </row>
    <row r="11" spans="1:21">
      <c r="D11" s="3"/>
      <c r="E11" s="3"/>
      <c r="F11" s="3"/>
      <c r="G11" s="3"/>
      <c r="H11" s="3"/>
      <c r="J11" s="3" t="str">
        <f ca="1">IFERROR(_xludf.XLOOKUP(B11,PRODUCT_MASTER!C2,PRODUCT_MASTER!C6),"")</f>
        <v/>
      </c>
      <c r="K11" s="3" t="str">
        <f t="shared" ca="1" si="0"/>
        <v/>
      </c>
      <c r="L11" s="3" t="str">
        <f t="shared" ca="1" si="1"/>
        <v/>
      </c>
      <c r="M11" s="4" t="str">
        <f t="shared" ca="1" si="2"/>
        <v/>
      </c>
    </row>
    <row r="12" spans="1:21">
      <c r="D12" s="3"/>
      <c r="E12" s="3"/>
      <c r="F12" s="3"/>
      <c r="G12" s="3"/>
      <c r="H12" s="3"/>
      <c r="J12" s="3" t="str">
        <f ca="1">IFERROR(_xludf.XLOOKUP(B12,PRODUCT_MASTER!C2,PRODUCT_MASTER!C6),"")</f>
        <v/>
      </c>
      <c r="K12" s="3" t="str">
        <f t="shared" ca="1" si="0"/>
        <v/>
      </c>
      <c r="L12" s="3" t="str">
        <f t="shared" ca="1" si="1"/>
        <v/>
      </c>
      <c r="M12" s="4" t="str">
        <f t="shared" ca="1" si="2"/>
        <v/>
      </c>
    </row>
    <row r="13" spans="1:21">
      <c r="D13" s="3"/>
      <c r="E13" s="3"/>
      <c r="F13" s="3"/>
      <c r="G13" s="3"/>
      <c r="H13" s="3"/>
      <c r="J13" s="3" t="str">
        <f ca="1">IFERROR(_xludf.XLOOKUP(B13,PRODUCT_MASTER!C2,PRODUCT_MASTER!C6),"")</f>
        <v/>
      </c>
      <c r="K13" s="3" t="str">
        <f t="shared" ca="1" si="0"/>
        <v/>
      </c>
      <c r="L13" s="3" t="str">
        <f t="shared" ca="1" si="1"/>
        <v/>
      </c>
      <c r="M13" s="4" t="str">
        <f t="shared" ca="1" si="2"/>
        <v/>
      </c>
    </row>
    <row r="14" spans="1:21">
      <c r="D14" s="3"/>
      <c r="E14" s="3"/>
      <c r="F14" s="3"/>
      <c r="G14" s="3"/>
      <c r="H14" s="3"/>
      <c r="J14" s="3" t="str">
        <f ca="1">IFERROR(_xludf.XLOOKUP(B14,PRODUCT_MASTER!C2,PRODUCT_MASTER!C6),"")</f>
        <v/>
      </c>
      <c r="K14" s="3" t="str">
        <f t="shared" ca="1" si="0"/>
        <v/>
      </c>
      <c r="L14" s="3" t="str">
        <f t="shared" ca="1" si="1"/>
        <v/>
      </c>
      <c r="M14" s="4" t="str">
        <f t="shared" ca="1" si="2"/>
        <v/>
      </c>
    </row>
    <row r="15" spans="1:21">
      <c r="D15" s="3"/>
      <c r="E15" s="3"/>
      <c r="F15" s="3"/>
      <c r="G15" s="3"/>
      <c r="H15" s="3"/>
      <c r="J15" s="3" t="str">
        <f ca="1">IFERROR(_xludf.XLOOKUP(B15,PRODUCT_MASTER!C2,PRODUCT_MASTER!C6),"")</f>
        <v/>
      </c>
      <c r="K15" s="3" t="str">
        <f t="shared" ca="1" si="0"/>
        <v/>
      </c>
      <c r="L15" s="3" t="str">
        <f t="shared" ca="1" si="1"/>
        <v/>
      </c>
      <c r="M15" s="4" t="str">
        <f t="shared" ca="1" si="2"/>
        <v/>
      </c>
    </row>
    <row r="16" spans="1:21">
      <c r="D16" s="3"/>
      <c r="E16" s="3"/>
      <c r="F16" s="3"/>
      <c r="G16" s="3"/>
      <c r="H16" s="3"/>
      <c r="J16" s="3" t="str">
        <f ca="1">IFERROR(_xludf.XLOOKUP(B16,PRODUCT_MASTER!C2,PRODUCT_MASTER!C6),"")</f>
        <v/>
      </c>
      <c r="K16" s="3" t="str">
        <f t="shared" ca="1" si="0"/>
        <v/>
      </c>
      <c r="L16" s="3" t="str">
        <f t="shared" ca="1" si="1"/>
        <v/>
      </c>
      <c r="M16" s="4" t="str">
        <f t="shared" ca="1" si="2"/>
        <v/>
      </c>
    </row>
    <row r="17" spans="4:13">
      <c r="D17" s="3"/>
      <c r="E17" s="3"/>
      <c r="F17" s="3"/>
      <c r="G17" s="3"/>
      <c r="H17" s="3"/>
      <c r="J17" s="3" t="str">
        <f ca="1">IFERROR(_xludf.XLOOKUP(B17,PRODUCT_MASTER!C2,PRODUCT_MASTER!C6),"")</f>
        <v/>
      </c>
      <c r="K17" s="3" t="str">
        <f t="shared" ca="1" si="0"/>
        <v/>
      </c>
      <c r="L17" s="3" t="str">
        <f t="shared" ca="1" si="1"/>
        <v/>
      </c>
      <c r="M17" s="4" t="str">
        <f t="shared" ca="1" si="2"/>
        <v/>
      </c>
    </row>
    <row r="18" spans="4:13">
      <c r="D18" s="3"/>
      <c r="E18" s="3"/>
      <c r="F18" s="3"/>
      <c r="G18" s="3"/>
      <c r="H18" s="3"/>
      <c r="J18" s="3" t="str">
        <f ca="1">IFERROR(_xludf.XLOOKUP(B18,PRODUCT_MASTER!C2,PRODUCT_MASTER!C6),"")</f>
        <v/>
      </c>
      <c r="K18" s="3" t="str">
        <f t="shared" ca="1" si="0"/>
        <v/>
      </c>
      <c r="L18" s="3" t="str">
        <f t="shared" ca="1" si="1"/>
        <v/>
      </c>
      <c r="M18" s="4" t="str">
        <f t="shared" ca="1" si="2"/>
        <v/>
      </c>
    </row>
    <row r="19" spans="4:13">
      <c r="D19" s="3"/>
      <c r="E19" s="3"/>
      <c r="F19" s="3"/>
      <c r="G19" s="3"/>
      <c r="H19" s="3"/>
      <c r="J19" s="3" t="str">
        <f ca="1">IFERROR(_xludf.XLOOKUP(B19,PRODUCT_MASTER!C2,PRODUCT_MASTER!C6),"")</f>
        <v/>
      </c>
      <c r="K19" s="3" t="str">
        <f t="shared" ca="1" si="0"/>
        <v/>
      </c>
      <c r="L19" s="3" t="str">
        <f t="shared" ca="1" si="1"/>
        <v/>
      </c>
      <c r="M19" s="4" t="str">
        <f t="shared" ca="1" si="2"/>
        <v/>
      </c>
    </row>
    <row r="20" spans="4:13">
      <c r="D20" s="3"/>
      <c r="E20" s="3"/>
      <c r="F20" s="3"/>
      <c r="G20" s="3"/>
      <c r="H20" s="3"/>
      <c r="J20" s="3" t="str">
        <f ca="1">IFERROR(_xludf.XLOOKUP(B20,PRODUCT_MASTER!C2,PRODUCT_MASTER!C6),"")</f>
        <v/>
      </c>
      <c r="K20" s="3" t="str">
        <f t="shared" ca="1" si="0"/>
        <v/>
      </c>
      <c r="L20" s="3" t="str">
        <f t="shared" ca="1" si="1"/>
        <v/>
      </c>
      <c r="M20" s="4" t="str">
        <f t="shared" ca="1" si="2"/>
        <v/>
      </c>
    </row>
    <row r="21" spans="4:13">
      <c r="D21" s="3"/>
      <c r="E21" s="3"/>
      <c r="F21" s="3"/>
      <c r="G21" s="3"/>
      <c r="H21" s="3"/>
      <c r="J21" s="3" t="str">
        <f ca="1">IFERROR(_xludf.XLOOKUP(B21,PRODUCT_MASTER!C2,PRODUCT_MASTER!C6),"")</f>
        <v/>
      </c>
      <c r="K21" s="3" t="str">
        <f t="shared" ca="1" si="0"/>
        <v/>
      </c>
      <c r="L21" s="3" t="str">
        <f t="shared" ca="1" si="1"/>
        <v/>
      </c>
      <c r="M21" s="4" t="str">
        <f t="shared" ca="1" si="2"/>
        <v/>
      </c>
    </row>
    <row r="22" spans="4:13">
      <c r="D22" s="3"/>
      <c r="E22" s="3"/>
      <c r="F22" s="3"/>
      <c r="G22" s="3"/>
      <c r="H22" s="3"/>
      <c r="J22" s="3" t="str">
        <f ca="1">IFERROR(_xludf.XLOOKUP(B22,PRODUCT_MASTER!C2,PRODUCT_MASTER!C6),"")</f>
        <v/>
      </c>
      <c r="K22" s="3" t="str">
        <f t="shared" ca="1" si="0"/>
        <v/>
      </c>
      <c r="L22" s="3" t="str">
        <f t="shared" ca="1" si="1"/>
        <v/>
      </c>
      <c r="M22" s="4" t="str">
        <f t="shared" ca="1" si="2"/>
        <v/>
      </c>
    </row>
    <row r="23" spans="4:13">
      <c r="D23" s="3"/>
      <c r="E23" s="3"/>
      <c r="F23" s="3"/>
      <c r="G23" s="3"/>
      <c r="H23" s="3"/>
      <c r="J23" s="3" t="str">
        <f ca="1">IFERROR(_xludf.XLOOKUP(B23,PRODUCT_MASTER!C2,PRODUCT_MASTER!C6),"")</f>
        <v/>
      </c>
      <c r="K23" s="3" t="str">
        <f t="shared" ca="1" si="0"/>
        <v/>
      </c>
      <c r="L23" s="3" t="str">
        <f t="shared" ca="1" si="1"/>
        <v/>
      </c>
      <c r="M23" s="4" t="str">
        <f t="shared" ca="1" si="2"/>
        <v/>
      </c>
    </row>
    <row r="24" spans="4:13">
      <c r="D24" s="3"/>
      <c r="E24" s="3"/>
      <c r="F24" s="3"/>
      <c r="G24" s="3"/>
      <c r="H24" s="3"/>
      <c r="J24" s="3" t="str">
        <f ca="1">IFERROR(_xludf.XLOOKUP(B24,PRODUCT_MASTER!C2,PRODUCT_MASTER!C6),"")</f>
        <v/>
      </c>
      <c r="K24" s="3" t="str">
        <f t="shared" ca="1" si="0"/>
        <v/>
      </c>
      <c r="L24" s="3" t="str">
        <f t="shared" ca="1" si="1"/>
        <v/>
      </c>
      <c r="M24" s="4" t="str">
        <f t="shared" ca="1" si="2"/>
        <v/>
      </c>
    </row>
    <row r="25" spans="4:13">
      <c r="D25" s="3"/>
      <c r="E25" s="3"/>
      <c r="F25" s="3"/>
      <c r="G25" s="3"/>
      <c r="H25" s="3"/>
      <c r="J25" s="3" t="str">
        <f ca="1">IFERROR(_xludf.XLOOKUP(B25,PRODUCT_MASTER!C2,PRODUCT_MASTER!C6),"")</f>
        <v/>
      </c>
      <c r="K25" s="3" t="str">
        <f t="shared" ca="1" si="0"/>
        <v/>
      </c>
      <c r="L25" s="3" t="str">
        <f t="shared" ca="1" si="1"/>
        <v/>
      </c>
      <c r="M25" s="4" t="str">
        <f t="shared" ca="1" si="2"/>
        <v/>
      </c>
    </row>
    <row r="26" spans="4:13">
      <c r="D26" s="3"/>
      <c r="E26" s="3"/>
      <c r="F26" s="3"/>
      <c r="G26" s="3"/>
      <c r="H26" s="3"/>
      <c r="J26" s="3" t="str">
        <f ca="1">IFERROR(_xludf.XLOOKUP(B26,PRODUCT_MASTER!C2,PRODUCT_MASTER!C6),"")</f>
        <v/>
      </c>
      <c r="K26" s="3" t="str">
        <f t="shared" ca="1" si="0"/>
        <v/>
      </c>
      <c r="L26" s="3" t="str">
        <f t="shared" ca="1" si="1"/>
        <v/>
      </c>
      <c r="M26" s="4" t="str">
        <f t="shared" ca="1" si="2"/>
        <v/>
      </c>
    </row>
    <row r="27" spans="4:13">
      <c r="D27" s="3"/>
      <c r="E27" s="3"/>
      <c r="F27" s="3"/>
      <c r="G27" s="3"/>
      <c r="H27" s="3"/>
      <c r="J27" s="3" t="str">
        <f ca="1">IFERROR(_xludf.XLOOKUP(B27,PRODUCT_MASTER!C2,PRODUCT_MASTER!C6),"")</f>
        <v/>
      </c>
      <c r="K27" s="3" t="str">
        <f t="shared" ca="1" si="0"/>
        <v/>
      </c>
      <c r="L27" s="3" t="str">
        <f t="shared" ca="1" si="1"/>
        <v/>
      </c>
      <c r="M27" s="4" t="str">
        <f t="shared" ca="1" si="2"/>
        <v/>
      </c>
    </row>
    <row r="28" spans="4:13">
      <c r="D28" s="3"/>
      <c r="E28" s="3"/>
      <c r="F28" s="3"/>
      <c r="G28" s="3"/>
      <c r="H28" s="3"/>
      <c r="J28" s="3" t="str">
        <f ca="1">IFERROR(_xludf.XLOOKUP(B28,PRODUCT_MASTER!C2,PRODUCT_MASTER!C6),"")</f>
        <v/>
      </c>
      <c r="K28" s="3" t="str">
        <f t="shared" ca="1" si="0"/>
        <v/>
      </c>
      <c r="L28" s="3" t="str">
        <f t="shared" ca="1" si="1"/>
        <v/>
      </c>
      <c r="M28" s="4" t="str">
        <f t="shared" ca="1" si="2"/>
        <v/>
      </c>
    </row>
    <row r="29" spans="4:13">
      <c r="D29" s="3"/>
      <c r="E29" s="3"/>
      <c r="F29" s="3"/>
      <c r="G29" s="3"/>
      <c r="H29" s="3"/>
      <c r="J29" s="3" t="str">
        <f ca="1">IFERROR(_xludf.XLOOKUP(B29,PRODUCT_MASTER!C2,PRODUCT_MASTER!C6),"")</f>
        <v/>
      </c>
      <c r="K29" s="3" t="str">
        <f t="shared" ca="1" si="0"/>
        <v/>
      </c>
      <c r="L29" s="3" t="str">
        <f t="shared" ca="1" si="1"/>
        <v/>
      </c>
      <c r="M29" s="4" t="str">
        <f t="shared" ca="1" si="2"/>
        <v/>
      </c>
    </row>
    <row r="30" spans="4:13">
      <c r="D30" s="3"/>
      <c r="E30" s="3"/>
      <c r="F30" s="3"/>
      <c r="G30" s="3"/>
      <c r="H30" s="3"/>
      <c r="J30" s="3" t="str">
        <f ca="1">IFERROR(_xludf.XLOOKUP(B30,PRODUCT_MASTER!C2,PRODUCT_MASTER!C6),"")</f>
        <v/>
      </c>
      <c r="K30" s="3" t="str">
        <f t="shared" ca="1" si="0"/>
        <v/>
      </c>
      <c r="L30" s="3" t="str">
        <f t="shared" ca="1" si="1"/>
        <v/>
      </c>
      <c r="M30" s="4" t="str">
        <f t="shared" ca="1" si="2"/>
        <v/>
      </c>
    </row>
    <row r="31" spans="4:13">
      <c r="D31" s="3"/>
      <c r="E31" s="3"/>
      <c r="F31" s="3"/>
      <c r="G31" s="3"/>
      <c r="H31" s="3"/>
      <c r="J31" s="3" t="str">
        <f ca="1">IFERROR(_xludf.XLOOKUP(B31,PRODUCT_MASTER!C2,PRODUCT_MASTER!C6),"")</f>
        <v/>
      </c>
      <c r="K31" s="3" t="str">
        <f t="shared" ca="1" si="0"/>
        <v/>
      </c>
      <c r="L31" s="3" t="str">
        <f t="shared" ca="1" si="1"/>
        <v/>
      </c>
      <c r="M31" s="4" t="str">
        <f t="shared" ca="1" si="2"/>
        <v/>
      </c>
    </row>
    <row r="32" spans="4:13">
      <c r="D32" s="3"/>
      <c r="E32" s="3"/>
      <c r="F32" s="3"/>
      <c r="G32" s="3"/>
      <c r="H32" s="3"/>
      <c r="J32" s="3" t="str">
        <f ca="1">IFERROR(_xludf.XLOOKUP(B32,PRODUCT_MASTER!C2,PRODUCT_MASTER!C6),"")</f>
        <v/>
      </c>
      <c r="K32" s="3" t="str">
        <f t="shared" ca="1" si="0"/>
        <v/>
      </c>
      <c r="L32" s="3" t="str">
        <f t="shared" ca="1" si="1"/>
        <v/>
      </c>
      <c r="M32" s="4" t="str">
        <f t="shared" ca="1" si="2"/>
        <v/>
      </c>
    </row>
    <row r="33" spans="4:13">
      <c r="D33" s="3"/>
      <c r="E33" s="3"/>
      <c r="F33" s="3"/>
      <c r="G33" s="3"/>
      <c r="H33" s="3"/>
      <c r="J33" s="3" t="str">
        <f ca="1">IFERROR(_xludf.XLOOKUP(B33,PRODUCT_MASTER!C2,PRODUCT_MASTER!C6),"")</f>
        <v/>
      </c>
      <c r="K33" s="3" t="str">
        <f t="shared" ca="1" si="0"/>
        <v/>
      </c>
      <c r="L33" s="3" t="str">
        <f t="shared" ca="1" si="1"/>
        <v/>
      </c>
      <c r="M33" s="4" t="str">
        <f t="shared" ca="1" si="2"/>
        <v/>
      </c>
    </row>
    <row r="34" spans="4:13">
      <c r="D34" s="3"/>
      <c r="E34" s="3"/>
      <c r="F34" s="3"/>
      <c r="G34" s="3"/>
      <c r="H34" s="3"/>
      <c r="J34" s="3" t="str">
        <f ca="1">IFERROR(_xludf.XLOOKUP(B34,PRODUCT_MASTER!C2,PRODUCT_MASTER!C6),"")</f>
        <v/>
      </c>
      <c r="K34" s="3" t="str">
        <f t="shared" ref="K34:K65" ca="1" si="3">IFERROR(D34*J34,"")</f>
        <v/>
      </c>
      <c r="L34" s="3" t="str">
        <f t="shared" ref="L34:L65" ca="1" si="4">IFERROR(F34-K34,"")</f>
        <v/>
      </c>
      <c r="M34" s="4" t="str">
        <f t="shared" ref="M34:M65" ca="1" si="5">IFERROR(L34/F34,"")</f>
        <v/>
      </c>
    </row>
    <row r="35" spans="4:13">
      <c r="D35" s="3"/>
      <c r="E35" s="3"/>
      <c r="F35" s="3"/>
      <c r="G35" s="3"/>
      <c r="H35" s="3"/>
      <c r="J35" s="3" t="str">
        <f ca="1">IFERROR(_xludf.XLOOKUP(B35,PRODUCT_MASTER!C2,PRODUCT_MASTER!C6),"")</f>
        <v/>
      </c>
      <c r="K35" s="3" t="str">
        <f t="shared" ca="1" si="3"/>
        <v/>
      </c>
      <c r="L35" s="3" t="str">
        <f t="shared" ca="1" si="4"/>
        <v/>
      </c>
      <c r="M35" s="4" t="str">
        <f t="shared" ca="1" si="5"/>
        <v/>
      </c>
    </row>
    <row r="36" spans="4:13">
      <c r="D36" s="3"/>
      <c r="E36" s="3"/>
      <c r="F36" s="3"/>
      <c r="G36" s="3"/>
      <c r="H36" s="3"/>
      <c r="J36" s="3" t="str">
        <f ca="1">IFERROR(_xludf.XLOOKUP(B36,PRODUCT_MASTER!C2,PRODUCT_MASTER!C6),"")</f>
        <v/>
      </c>
      <c r="K36" s="3" t="str">
        <f t="shared" ca="1" si="3"/>
        <v/>
      </c>
      <c r="L36" s="3" t="str">
        <f t="shared" ca="1" si="4"/>
        <v/>
      </c>
      <c r="M36" s="4" t="str">
        <f t="shared" ca="1" si="5"/>
        <v/>
      </c>
    </row>
    <row r="37" spans="4:13">
      <c r="D37" s="3"/>
      <c r="E37" s="3"/>
      <c r="F37" s="3"/>
      <c r="G37" s="3"/>
      <c r="H37" s="3"/>
      <c r="J37" s="3" t="str">
        <f ca="1">IFERROR(_xludf.XLOOKUP(B37,PRODUCT_MASTER!C2,PRODUCT_MASTER!C6),"")</f>
        <v/>
      </c>
      <c r="K37" s="3" t="str">
        <f t="shared" ca="1" si="3"/>
        <v/>
      </c>
      <c r="L37" s="3" t="str">
        <f t="shared" ca="1" si="4"/>
        <v/>
      </c>
      <c r="M37" s="4" t="str">
        <f t="shared" ca="1" si="5"/>
        <v/>
      </c>
    </row>
    <row r="38" spans="4:13">
      <c r="D38" s="3"/>
      <c r="E38" s="3"/>
      <c r="F38" s="3"/>
      <c r="G38" s="3"/>
      <c r="H38" s="3"/>
      <c r="J38" s="3" t="str">
        <f ca="1">IFERROR(_xludf.XLOOKUP(B38,PRODUCT_MASTER!C2,PRODUCT_MASTER!C6),"")</f>
        <v/>
      </c>
      <c r="K38" s="3" t="str">
        <f t="shared" ca="1" si="3"/>
        <v/>
      </c>
      <c r="L38" s="3" t="str">
        <f t="shared" ca="1" si="4"/>
        <v/>
      </c>
      <c r="M38" s="4" t="str">
        <f t="shared" ca="1" si="5"/>
        <v/>
      </c>
    </row>
    <row r="39" spans="4:13">
      <c r="D39" s="3"/>
      <c r="E39" s="3"/>
      <c r="F39" s="3"/>
      <c r="G39" s="3"/>
      <c r="H39" s="3"/>
      <c r="J39" s="3" t="str">
        <f ca="1">IFERROR(_xludf.XLOOKUP(B39,PRODUCT_MASTER!C2,PRODUCT_MASTER!C6),"")</f>
        <v/>
      </c>
      <c r="K39" s="3" t="str">
        <f t="shared" ca="1" si="3"/>
        <v/>
      </c>
      <c r="L39" s="3" t="str">
        <f t="shared" ca="1" si="4"/>
        <v/>
      </c>
      <c r="M39" s="4" t="str">
        <f t="shared" ca="1" si="5"/>
        <v/>
      </c>
    </row>
    <row r="40" spans="4:13">
      <c r="D40" s="3"/>
      <c r="E40" s="3"/>
      <c r="F40" s="3"/>
      <c r="G40" s="3"/>
      <c r="H40" s="3"/>
      <c r="J40" s="3" t="str">
        <f ca="1">IFERROR(_xludf.XLOOKUP(B40,PRODUCT_MASTER!C2,PRODUCT_MASTER!C6),"")</f>
        <v/>
      </c>
      <c r="K40" s="3" t="str">
        <f t="shared" ca="1" si="3"/>
        <v/>
      </c>
      <c r="L40" s="3" t="str">
        <f t="shared" ca="1" si="4"/>
        <v/>
      </c>
      <c r="M40" s="4" t="str">
        <f t="shared" ca="1" si="5"/>
        <v/>
      </c>
    </row>
    <row r="41" spans="4:13">
      <c r="D41" s="3"/>
      <c r="E41" s="3"/>
      <c r="F41" s="3"/>
      <c r="G41" s="3"/>
      <c r="H41" s="3"/>
      <c r="J41" s="3" t="str">
        <f ca="1">IFERROR(_xludf.XLOOKUP(B41,PRODUCT_MASTER!C2,PRODUCT_MASTER!C6),"")</f>
        <v/>
      </c>
      <c r="K41" s="3" t="str">
        <f t="shared" ca="1" si="3"/>
        <v/>
      </c>
      <c r="L41" s="3" t="str">
        <f t="shared" ca="1" si="4"/>
        <v/>
      </c>
      <c r="M41" s="4" t="str">
        <f t="shared" ca="1" si="5"/>
        <v/>
      </c>
    </row>
    <row r="42" spans="4:13">
      <c r="D42" s="3"/>
      <c r="E42" s="3"/>
      <c r="F42" s="3"/>
      <c r="G42" s="3"/>
      <c r="H42" s="3"/>
      <c r="J42" s="3" t="str">
        <f ca="1">IFERROR(_xludf.XLOOKUP(B42,PRODUCT_MASTER!C2,PRODUCT_MASTER!C6),"")</f>
        <v/>
      </c>
      <c r="K42" s="3" t="str">
        <f t="shared" ca="1" si="3"/>
        <v/>
      </c>
      <c r="L42" s="3" t="str">
        <f t="shared" ca="1" si="4"/>
        <v/>
      </c>
      <c r="M42" s="4" t="str">
        <f t="shared" ca="1" si="5"/>
        <v/>
      </c>
    </row>
    <row r="43" spans="4:13">
      <c r="D43" s="3"/>
      <c r="E43" s="3"/>
      <c r="F43" s="3"/>
      <c r="G43" s="3"/>
      <c r="H43" s="3"/>
      <c r="J43" s="3" t="str">
        <f ca="1">IFERROR(_xludf.XLOOKUP(B43,PRODUCT_MASTER!C2,PRODUCT_MASTER!C6),"")</f>
        <v/>
      </c>
      <c r="K43" s="3" t="str">
        <f t="shared" ca="1" si="3"/>
        <v/>
      </c>
      <c r="L43" s="3" t="str">
        <f t="shared" ca="1" si="4"/>
        <v/>
      </c>
      <c r="M43" s="4" t="str">
        <f t="shared" ca="1" si="5"/>
        <v/>
      </c>
    </row>
    <row r="44" spans="4:13">
      <c r="D44" s="3"/>
      <c r="E44" s="3"/>
      <c r="F44" s="3"/>
      <c r="G44" s="3"/>
      <c r="H44" s="3"/>
      <c r="J44" s="3" t="str">
        <f ca="1">IFERROR(_xludf.XLOOKUP(B44,PRODUCT_MASTER!C2,PRODUCT_MASTER!C6),"")</f>
        <v/>
      </c>
      <c r="K44" s="3" t="str">
        <f t="shared" ca="1" si="3"/>
        <v/>
      </c>
      <c r="L44" s="3" t="str">
        <f t="shared" ca="1" si="4"/>
        <v/>
      </c>
      <c r="M44" s="4" t="str">
        <f t="shared" ca="1" si="5"/>
        <v/>
      </c>
    </row>
    <row r="45" spans="4:13">
      <c r="D45" s="3"/>
      <c r="E45" s="3"/>
      <c r="F45" s="3"/>
      <c r="G45" s="3"/>
      <c r="H45" s="3"/>
      <c r="J45" s="3" t="str">
        <f ca="1">IFERROR(_xludf.XLOOKUP(B45,PRODUCT_MASTER!C2,PRODUCT_MASTER!C6),"")</f>
        <v/>
      </c>
      <c r="K45" s="3" t="str">
        <f t="shared" ca="1" si="3"/>
        <v/>
      </c>
      <c r="L45" s="3" t="str">
        <f t="shared" ca="1" si="4"/>
        <v/>
      </c>
      <c r="M45" s="4" t="str">
        <f t="shared" ca="1" si="5"/>
        <v/>
      </c>
    </row>
    <row r="46" spans="4:13">
      <c r="D46" s="3"/>
      <c r="E46" s="3"/>
      <c r="F46" s="3"/>
      <c r="G46" s="3"/>
      <c r="H46" s="3"/>
      <c r="J46" s="3" t="str">
        <f ca="1">IFERROR(_xludf.XLOOKUP(B46,PRODUCT_MASTER!C2,PRODUCT_MASTER!C6),"")</f>
        <v/>
      </c>
      <c r="K46" s="3" t="str">
        <f t="shared" ca="1" si="3"/>
        <v/>
      </c>
      <c r="L46" s="3" t="str">
        <f t="shared" ca="1" si="4"/>
        <v/>
      </c>
      <c r="M46" s="4" t="str">
        <f t="shared" ca="1" si="5"/>
        <v/>
      </c>
    </row>
    <row r="47" spans="4:13">
      <c r="D47" s="3"/>
      <c r="E47" s="3"/>
      <c r="F47" s="3"/>
      <c r="G47" s="3"/>
      <c r="H47" s="3"/>
      <c r="J47" s="3" t="str">
        <f ca="1">IFERROR(_xludf.XLOOKUP(B47,PRODUCT_MASTER!C2,PRODUCT_MASTER!C6),"")</f>
        <v/>
      </c>
      <c r="K47" s="3" t="str">
        <f t="shared" ca="1" si="3"/>
        <v/>
      </c>
      <c r="L47" s="3" t="str">
        <f t="shared" ca="1" si="4"/>
        <v/>
      </c>
      <c r="M47" s="4" t="str">
        <f t="shared" ca="1" si="5"/>
        <v/>
      </c>
    </row>
    <row r="48" spans="4:13">
      <c r="D48" s="3"/>
      <c r="E48" s="3"/>
      <c r="F48" s="3"/>
      <c r="G48" s="3"/>
      <c r="H48" s="3"/>
      <c r="J48" s="3" t="str">
        <f ca="1">IFERROR(_xludf.XLOOKUP(B48,PRODUCT_MASTER!C2,PRODUCT_MASTER!C6),"")</f>
        <v/>
      </c>
      <c r="K48" s="3" t="str">
        <f t="shared" ca="1" si="3"/>
        <v/>
      </c>
      <c r="L48" s="3" t="str">
        <f t="shared" ca="1" si="4"/>
        <v/>
      </c>
      <c r="M48" s="4" t="str">
        <f t="shared" ca="1" si="5"/>
        <v/>
      </c>
    </row>
    <row r="49" spans="4:13">
      <c r="D49" s="3"/>
      <c r="E49" s="3"/>
      <c r="F49" s="3"/>
      <c r="G49" s="3"/>
      <c r="H49" s="3"/>
      <c r="J49" s="3" t="str">
        <f ca="1">IFERROR(_xludf.XLOOKUP(B49,PRODUCT_MASTER!C2,PRODUCT_MASTER!C6),"")</f>
        <v/>
      </c>
      <c r="K49" s="3" t="str">
        <f t="shared" ca="1" si="3"/>
        <v/>
      </c>
      <c r="L49" s="3" t="str">
        <f t="shared" ca="1" si="4"/>
        <v/>
      </c>
      <c r="M49" s="4" t="str">
        <f t="shared" ca="1" si="5"/>
        <v/>
      </c>
    </row>
    <row r="50" spans="4:13">
      <c r="D50" s="3"/>
      <c r="E50" s="3"/>
      <c r="F50" s="3"/>
      <c r="G50" s="3"/>
      <c r="H50" s="3"/>
      <c r="J50" s="3" t="str">
        <f ca="1">IFERROR(_xludf.XLOOKUP(B50,PRODUCT_MASTER!C2,PRODUCT_MASTER!C6),"")</f>
        <v/>
      </c>
      <c r="K50" s="3" t="str">
        <f t="shared" ca="1" si="3"/>
        <v/>
      </c>
      <c r="L50" s="3" t="str">
        <f t="shared" ca="1" si="4"/>
        <v/>
      </c>
      <c r="M50" s="4" t="str">
        <f t="shared" ca="1" si="5"/>
        <v/>
      </c>
    </row>
    <row r="51" spans="4:13">
      <c r="D51" s="3"/>
      <c r="E51" s="3"/>
      <c r="F51" s="3"/>
      <c r="G51" s="3"/>
      <c r="H51" s="3"/>
      <c r="J51" s="3" t="str">
        <f ca="1">IFERROR(_xludf.XLOOKUP(B51,PRODUCT_MASTER!C2,PRODUCT_MASTER!C6),"")</f>
        <v/>
      </c>
      <c r="K51" s="3" t="str">
        <f t="shared" ca="1" si="3"/>
        <v/>
      </c>
      <c r="L51" s="3" t="str">
        <f t="shared" ca="1" si="4"/>
        <v/>
      </c>
      <c r="M51" s="4" t="str">
        <f t="shared" ca="1" si="5"/>
        <v/>
      </c>
    </row>
    <row r="52" spans="4:13">
      <c r="D52" s="3"/>
      <c r="E52" s="3"/>
      <c r="F52" s="3"/>
      <c r="G52" s="3"/>
      <c r="H52" s="3"/>
      <c r="J52" s="3" t="str">
        <f ca="1">IFERROR(_xludf.XLOOKUP(B52,PRODUCT_MASTER!C2,PRODUCT_MASTER!C6),"")</f>
        <v/>
      </c>
      <c r="K52" s="3" t="str">
        <f t="shared" ca="1" si="3"/>
        <v/>
      </c>
      <c r="L52" s="3" t="str">
        <f t="shared" ca="1" si="4"/>
        <v/>
      </c>
      <c r="M52" s="4" t="str">
        <f t="shared" ca="1" si="5"/>
        <v/>
      </c>
    </row>
    <row r="53" spans="4:13">
      <c r="D53" s="3"/>
      <c r="E53" s="3"/>
      <c r="F53" s="3"/>
      <c r="G53" s="3"/>
      <c r="H53" s="3"/>
      <c r="J53" s="3" t="str">
        <f ca="1">IFERROR(_xludf.XLOOKUP(B53,PRODUCT_MASTER!C2,PRODUCT_MASTER!C6),"")</f>
        <v/>
      </c>
      <c r="K53" s="3" t="str">
        <f t="shared" ca="1" si="3"/>
        <v/>
      </c>
      <c r="L53" s="3" t="str">
        <f t="shared" ca="1" si="4"/>
        <v/>
      </c>
      <c r="M53" s="4" t="str">
        <f t="shared" ca="1" si="5"/>
        <v/>
      </c>
    </row>
    <row r="54" spans="4:13">
      <c r="D54" s="3"/>
      <c r="E54" s="3"/>
      <c r="F54" s="3"/>
      <c r="G54" s="3"/>
      <c r="H54" s="3"/>
      <c r="J54" s="3" t="str">
        <f ca="1">IFERROR(_xludf.XLOOKUP(B54,PRODUCT_MASTER!C2,PRODUCT_MASTER!C6),"")</f>
        <v/>
      </c>
      <c r="K54" s="3" t="str">
        <f t="shared" ca="1" si="3"/>
        <v/>
      </c>
      <c r="L54" s="3" t="str">
        <f t="shared" ca="1" si="4"/>
        <v/>
      </c>
      <c r="M54" s="4" t="str">
        <f t="shared" ca="1" si="5"/>
        <v/>
      </c>
    </row>
    <row r="55" spans="4:13">
      <c r="D55" s="3"/>
      <c r="E55" s="3"/>
      <c r="F55" s="3"/>
      <c r="G55" s="3"/>
      <c r="H55" s="3"/>
      <c r="J55" s="3" t="str">
        <f ca="1">IFERROR(_xludf.XLOOKUP(B55,PRODUCT_MASTER!C2,PRODUCT_MASTER!C6),"")</f>
        <v/>
      </c>
      <c r="K55" s="3" t="str">
        <f t="shared" ca="1" si="3"/>
        <v/>
      </c>
      <c r="L55" s="3" t="str">
        <f t="shared" ca="1" si="4"/>
        <v/>
      </c>
      <c r="M55" s="4" t="str">
        <f t="shared" ca="1" si="5"/>
        <v/>
      </c>
    </row>
    <row r="56" spans="4:13">
      <c r="D56" s="3"/>
      <c r="E56" s="3"/>
      <c r="F56" s="3"/>
      <c r="G56" s="3"/>
      <c r="H56" s="3"/>
      <c r="J56" s="3" t="str">
        <f ca="1">IFERROR(_xludf.XLOOKUP(B56,PRODUCT_MASTER!C2,PRODUCT_MASTER!C6),"")</f>
        <v/>
      </c>
      <c r="K56" s="3" t="str">
        <f t="shared" ca="1" si="3"/>
        <v/>
      </c>
      <c r="L56" s="3" t="str">
        <f t="shared" ca="1" si="4"/>
        <v/>
      </c>
      <c r="M56" s="4" t="str">
        <f t="shared" ca="1" si="5"/>
        <v/>
      </c>
    </row>
    <row r="57" spans="4:13">
      <c r="D57" s="3"/>
      <c r="E57" s="3"/>
      <c r="F57" s="3"/>
      <c r="G57" s="3"/>
      <c r="H57" s="3"/>
      <c r="J57" s="3" t="str">
        <f ca="1">IFERROR(_xludf.XLOOKUP(B57,PRODUCT_MASTER!C2,PRODUCT_MASTER!C6),"")</f>
        <v/>
      </c>
      <c r="K57" s="3" t="str">
        <f t="shared" ca="1" si="3"/>
        <v/>
      </c>
      <c r="L57" s="3" t="str">
        <f t="shared" ca="1" si="4"/>
        <v/>
      </c>
      <c r="M57" s="4" t="str">
        <f t="shared" ca="1" si="5"/>
        <v/>
      </c>
    </row>
    <row r="58" spans="4:13">
      <c r="D58" s="3"/>
      <c r="E58" s="3"/>
      <c r="F58" s="3"/>
      <c r="G58" s="3"/>
      <c r="H58" s="3"/>
      <c r="J58" s="3" t="str">
        <f ca="1">IFERROR(_xludf.XLOOKUP(B58,PRODUCT_MASTER!C2,PRODUCT_MASTER!C6),"")</f>
        <v/>
      </c>
      <c r="K58" s="3" t="str">
        <f t="shared" ca="1" si="3"/>
        <v/>
      </c>
      <c r="L58" s="3" t="str">
        <f t="shared" ca="1" si="4"/>
        <v/>
      </c>
      <c r="M58" s="4" t="str">
        <f t="shared" ca="1" si="5"/>
        <v/>
      </c>
    </row>
    <row r="59" spans="4:13">
      <c r="D59" s="3"/>
      <c r="E59" s="3"/>
      <c r="F59" s="3"/>
      <c r="G59" s="3"/>
      <c r="H59" s="3"/>
      <c r="J59" s="3" t="str">
        <f ca="1">IFERROR(_xludf.XLOOKUP(B59,PRODUCT_MASTER!C2,PRODUCT_MASTER!C6),"")</f>
        <v/>
      </c>
      <c r="K59" s="3" t="str">
        <f t="shared" ca="1" si="3"/>
        <v/>
      </c>
      <c r="L59" s="3" t="str">
        <f t="shared" ca="1" si="4"/>
        <v/>
      </c>
      <c r="M59" s="4" t="str">
        <f t="shared" ca="1" si="5"/>
        <v/>
      </c>
    </row>
    <row r="60" spans="4:13">
      <c r="D60" s="3"/>
      <c r="E60" s="3"/>
      <c r="F60" s="3"/>
      <c r="G60" s="3"/>
      <c r="H60" s="3"/>
      <c r="J60" s="3" t="str">
        <f ca="1">IFERROR(_xludf.XLOOKUP(B60,PRODUCT_MASTER!C2,PRODUCT_MASTER!C6),"")</f>
        <v/>
      </c>
      <c r="K60" s="3" t="str">
        <f t="shared" ca="1" si="3"/>
        <v/>
      </c>
      <c r="L60" s="3" t="str">
        <f t="shared" ca="1" si="4"/>
        <v/>
      </c>
      <c r="M60" s="4" t="str">
        <f t="shared" ca="1" si="5"/>
        <v/>
      </c>
    </row>
    <row r="61" spans="4:13">
      <c r="D61" s="3"/>
      <c r="E61" s="3"/>
      <c r="F61" s="3"/>
      <c r="G61" s="3"/>
      <c r="H61" s="3"/>
      <c r="J61" s="3" t="str">
        <f ca="1">IFERROR(_xludf.XLOOKUP(B61,PRODUCT_MASTER!C2,PRODUCT_MASTER!C6),"")</f>
        <v/>
      </c>
      <c r="K61" s="3" t="str">
        <f t="shared" ca="1" si="3"/>
        <v/>
      </c>
      <c r="L61" s="3" t="str">
        <f t="shared" ca="1" si="4"/>
        <v/>
      </c>
      <c r="M61" s="4" t="str">
        <f t="shared" ca="1" si="5"/>
        <v/>
      </c>
    </row>
    <row r="62" spans="4:13">
      <c r="D62" s="3"/>
      <c r="E62" s="3"/>
      <c r="F62" s="3"/>
      <c r="G62" s="3"/>
      <c r="H62" s="3"/>
      <c r="J62" s="3" t="str">
        <f ca="1">IFERROR(_xludf.XLOOKUP(B62,PRODUCT_MASTER!C2,PRODUCT_MASTER!C6),"")</f>
        <v/>
      </c>
      <c r="K62" s="3" t="str">
        <f t="shared" ca="1" si="3"/>
        <v/>
      </c>
      <c r="L62" s="3" t="str">
        <f t="shared" ca="1" si="4"/>
        <v/>
      </c>
      <c r="M62" s="4" t="str">
        <f t="shared" ca="1" si="5"/>
        <v/>
      </c>
    </row>
    <row r="63" spans="4:13">
      <c r="D63" s="3"/>
      <c r="E63" s="3"/>
      <c r="F63" s="3"/>
      <c r="G63" s="3"/>
      <c r="H63" s="3"/>
      <c r="J63" s="3" t="str">
        <f ca="1">IFERROR(_xludf.XLOOKUP(B63,PRODUCT_MASTER!C2,PRODUCT_MASTER!C6),"")</f>
        <v/>
      </c>
      <c r="K63" s="3" t="str">
        <f t="shared" ca="1" si="3"/>
        <v/>
      </c>
      <c r="L63" s="3" t="str">
        <f t="shared" ca="1" si="4"/>
        <v/>
      </c>
      <c r="M63" s="4" t="str">
        <f t="shared" ca="1" si="5"/>
        <v/>
      </c>
    </row>
    <row r="64" spans="4:13">
      <c r="D64" s="3"/>
      <c r="E64" s="3"/>
      <c r="F64" s="3"/>
      <c r="G64" s="3"/>
      <c r="H64" s="3"/>
      <c r="J64" s="3" t="str">
        <f ca="1">IFERROR(_xludf.XLOOKUP(B64,PRODUCT_MASTER!C2,PRODUCT_MASTER!C6),"")</f>
        <v/>
      </c>
      <c r="K64" s="3" t="str">
        <f t="shared" ca="1" si="3"/>
        <v/>
      </c>
      <c r="L64" s="3" t="str">
        <f t="shared" ca="1" si="4"/>
        <v/>
      </c>
      <c r="M64" s="4" t="str">
        <f t="shared" ca="1" si="5"/>
        <v/>
      </c>
    </row>
    <row r="65" spans="4:13">
      <c r="D65" s="3"/>
      <c r="E65" s="3"/>
      <c r="F65" s="3"/>
      <c r="G65" s="3"/>
      <c r="H65" s="3"/>
      <c r="J65" s="3" t="str">
        <f ca="1">IFERROR(_xludf.XLOOKUP(B65,PRODUCT_MASTER!C2,PRODUCT_MASTER!C6),"")</f>
        <v/>
      </c>
      <c r="K65" s="3" t="str">
        <f t="shared" ca="1" si="3"/>
        <v/>
      </c>
      <c r="L65" s="3" t="str">
        <f t="shared" ca="1" si="4"/>
        <v/>
      </c>
      <c r="M65" s="4" t="str">
        <f t="shared" ca="1" si="5"/>
        <v/>
      </c>
    </row>
    <row r="66" spans="4:13">
      <c r="D66" s="3"/>
      <c r="E66" s="3"/>
      <c r="F66" s="3"/>
      <c r="G66" s="3"/>
      <c r="H66" s="3"/>
      <c r="J66" s="3" t="str">
        <f ca="1">IFERROR(_xludf.XLOOKUP(B66,PRODUCT_MASTER!C2,PRODUCT_MASTER!C6),"")</f>
        <v/>
      </c>
      <c r="K66" s="3" t="str">
        <f t="shared" ref="K66:K97" ca="1" si="6">IFERROR(D66*J66,"")</f>
        <v/>
      </c>
      <c r="L66" s="3" t="str">
        <f t="shared" ref="L66:L97" ca="1" si="7">IFERROR(F66-K66,"")</f>
        <v/>
      </c>
      <c r="M66" s="4" t="str">
        <f t="shared" ref="M66:M97" ca="1" si="8">IFERROR(L66/F66,"")</f>
        <v/>
      </c>
    </row>
    <row r="67" spans="4:13">
      <c r="D67" s="3"/>
      <c r="E67" s="3"/>
      <c r="F67" s="3"/>
      <c r="G67" s="3"/>
      <c r="H67" s="3"/>
      <c r="J67" s="3" t="str">
        <f ca="1">IFERROR(_xludf.XLOOKUP(B67,PRODUCT_MASTER!C2,PRODUCT_MASTER!C6),"")</f>
        <v/>
      </c>
      <c r="K67" s="3" t="str">
        <f t="shared" ca="1" si="6"/>
        <v/>
      </c>
      <c r="L67" s="3" t="str">
        <f t="shared" ca="1" si="7"/>
        <v/>
      </c>
      <c r="M67" s="4" t="str">
        <f t="shared" ca="1" si="8"/>
        <v/>
      </c>
    </row>
    <row r="68" spans="4:13">
      <c r="D68" s="3"/>
      <c r="E68" s="3"/>
      <c r="F68" s="3"/>
      <c r="G68" s="3"/>
      <c r="H68" s="3"/>
      <c r="J68" s="3" t="str">
        <f ca="1">IFERROR(_xludf.XLOOKUP(B68,PRODUCT_MASTER!C2,PRODUCT_MASTER!C6),"")</f>
        <v/>
      </c>
      <c r="K68" s="3" t="str">
        <f t="shared" ca="1" si="6"/>
        <v/>
      </c>
      <c r="L68" s="3" t="str">
        <f t="shared" ca="1" si="7"/>
        <v/>
      </c>
      <c r="M68" s="4" t="str">
        <f t="shared" ca="1" si="8"/>
        <v/>
      </c>
    </row>
    <row r="69" spans="4:13">
      <c r="D69" s="3"/>
      <c r="E69" s="3"/>
      <c r="F69" s="3"/>
      <c r="G69" s="3"/>
      <c r="H69" s="3"/>
      <c r="J69" s="3" t="str">
        <f ca="1">IFERROR(_xludf.XLOOKUP(B69,PRODUCT_MASTER!C2,PRODUCT_MASTER!C6),"")</f>
        <v/>
      </c>
      <c r="K69" s="3" t="str">
        <f t="shared" ca="1" si="6"/>
        <v/>
      </c>
      <c r="L69" s="3" t="str">
        <f t="shared" ca="1" si="7"/>
        <v/>
      </c>
      <c r="M69" s="4" t="str">
        <f t="shared" ca="1" si="8"/>
        <v/>
      </c>
    </row>
    <row r="70" spans="4:13">
      <c r="D70" s="3"/>
      <c r="E70" s="3"/>
      <c r="F70" s="3"/>
      <c r="G70" s="3"/>
      <c r="H70" s="3"/>
      <c r="J70" s="3" t="str">
        <f ca="1">IFERROR(_xludf.XLOOKUP(B70,PRODUCT_MASTER!C2,PRODUCT_MASTER!C6),"")</f>
        <v/>
      </c>
      <c r="K70" s="3" t="str">
        <f t="shared" ca="1" si="6"/>
        <v/>
      </c>
      <c r="L70" s="3" t="str">
        <f t="shared" ca="1" si="7"/>
        <v/>
      </c>
      <c r="M70" s="4" t="str">
        <f t="shared" ca="1" si="8"/>
        <v/>
      </c>
    </row>
    <row r="71" spans="4:13">
      <c r="D71" s="3"/>
      <c r="E71" s="3"/>
      <c r="F71" s="3"/>
      <c r="G71" s="3"/>
      <c r="H71" s="3"/>
      <c r="J71" s="3" t="str">
        <f ca="1">IFERROR(_xludf.XLOOKUP(B71,PRODUCT_MASTER!C2,PRODUCT_MASTER!C6),"")</f>
        <v/>
      </c>
      <c r="K71" s="3" t="str">
        <f t="shared" ca="1" si="6"/>
        <v/>
      </c>
      <c r="L71" s="3" t="str">
        <f t="shared" ca="1" si="7"/>
        <v/>
      </c>
      <c r="M71" s="4" t="str">
        <f t="shared" ca="1" si="8"/>
        <v/>
      </c>
    </row>
    <row r="72" spans="4:13">
      <c r="D72" s="3"/>
      <c r="E72" s="3"/>
      <c r="F72" s="3"/>
      <c r="G72" s="3"/>
      <c r="H72" s="3"/>
      <c r="J72" s="3" t="str">
        <f ca="1">IFERROR(_xludf.XLOOKUP(B72,PRODUCT_MASTER!C2,PRODUCT_MASTER!C6),"")</f>
        <v/>
      </c>
      <c r="K72" s="3" t="str">
        <f t="shared" ca="1" si="6"/>
        <v/>
      </c>
      <c r="L72" s="3" t="str">
        <f t="shared" ca="1" si="7"/>
        <v/>
      </c>
      <c r="M72" s="4" t="str">
        <f t="shared" ca="1" si="8"/>
        <v/>
      </c>
    </row>
    <row r="73" spans="4:13">
      <c r="D73" s="3"/>
      <c r="E73" s="3"/>
      <c r="F73" s="3"/>
      <c r="G73" s="3"/>
      <c r="H73" s="3"/>
      <c r="J73" s="3" t="str">
        <f ca="1">IFERROR(_xludf.XLOOKUP(B73,PRODUCT_MASTER!C2,PRODUCT_MASTER!C6),"")</f>
        <v/>
      </c>
      <c r="K73" s="3" t="str">
        <f t="shared" ca="1" si="6"/>
        <v/>
      </c>
      <c r="L73" s="3" t="str">
        <f t="shared" ca="1" si="7"/>
        <v/>
      </c>
      <c r="M73" s="4" t="str">
        <f t="shared" ca="1" si="8"/>
        <v/>
      </c>
    </row>
    <row r="74" spans="4:13">
      <c r="D74" s="3"/>
      <c r="E74" s="3"/>
      <c r="F74" s="3"/>
      <c r="G74" s="3"/>
      <c r="H74" s="3"/>
      <c r="J74" s="3" t="str">
        <f ca="1">IFERROR(_xludf.XLOOKUP(B74,PRODUCT_MASTER!C2,PRODUCT_MASTER!C6),"")</f>
        <v/>
      </c>
      <c r="K74" s="3" t="str">
        <f t="shared" ca="1" si="6"/>
        <v/>
      </c>
      <c r="L74" s="3" t="str">
        <f t="shared" ca="1" si="7"/>
        <v/>
      </c>
      <c r="M74" s="4" t="str">
        <f t="shared" ca="1" si="8"/>
        <v/>
      </c>
    </row>
    <row r="75" spans="4:13">
      <c r="D75" s="3"/>
      <c r="E75" s="3"/>
      <c r="F75" s="3"/>
      <c r="G75" s="3"/>
      <c r="H75" s="3"/>
      <c r="J75" s="3" t="str">
        <f ca="1">IFERROR(_xludf.XLOOKUP(B75,PRODUCT_MASTER!C2,PRODUCT_MASTER!C6),"")</f>
        <v/>
      </c>
      <c r="K75" s="3" t="str">
        <f t="shared" ca="1" si="6"/>
        <v/>
      </c>
      <c r="L75" s="3" t="str">
        <f t="shared" ca="1" si="7"/>
        <v/>
      </c>
      <c r="M75" s="4" t="str">
        <f t="shared" ca="1" si="8"/>
        <v/>
      </c>
    </row>
    <row r="76" spans="4:13">
      <c r="D76" s="3"/>
      <c r="E76" s="3"/>
      <c r="F76" s="3"/>
      <c r="G76" s="3"/>
      <c r="H76" s="3"/>
      <c r="J76" s="3" t="str">
        <f ca="1">IFERROR(_xludf.XLOOKUP(B76,PRODUCT_MASTER!C2,PRODUCT_MASTER!C6),"")</f>
        <v/>
      </c>
      <c r="K76" s="3" t="str">
        <f t="shared" ca="1" si="6"/>
        <v/>
      </c>
      <c r="L76" s="3" t="str">
        <f t="shared" ca="1" si="7"/>
        <v/>
      </c>
      <c r="M76" s="4" t="str">
        <f t="shared" ca="1" si="8"/>
        <v/>
      </c>
    </row>
    <row r="77" spans="4:13">
      <c r="D77" s="3"/>
      <c r="E77" s="3"/>
      <c r="F77" s="3"/>
      <c r="G77" s="3"/>
      <c r="H77" s="3"/>
      <c r="J77" s="3" t="str">
        <f ca="1">IFERROR(_xludf.XLOOKUP(B77,PRODUCT_MASTER!C2,PRODUCT_MASTER!C6),"")</f>
        <v/>
      </c>
      <c r="K77" s="3" t="str">
        <f t="shared" ca="1" si="6"/>
        <v/>
      </c>
      <c r="L77" s="3" t="str">
        <f t="shared" ca="1" si="7"/>
        <v/>
      </c>
      <c r="M77" s="4" t="str">
        <f t="shared" ca="1" si="8"/>
        <v/>
      </c>
    </row>
    <row r="78" spans="4:13">
      <c r="D78" s="3"/>
      <c r="E78" s="3"/>
      <c r="F78" s="3"/>
      <c r="G78" s="3"/>
      <c r="H78" s="3"/>
      <c r="J78" s="3" t="str">
        <f ca="1">IFERROR(_xludf.XLOOKUP(B78,PRODUCT_MASTER!C2,PRODUCT_MASTER!C6),"")</f>
        <v/>
      </c>
      <c r="K78" s="3" t="str">
        <f t="shared" ca="1" si="6"/>
        <v/>
      </c>
      <c r="L78" s="3" t="str">
        <f t="shared" ca="1" si="7"/>
        <v/>
      </c>
      <c r="M78" s="4" t="str">
        <f t="shared" ca="1" si="8"/>
        <v/>
      </c>
    </row>
    <row r="79" spans="4:13">
      <c r="D79" s="3"/>
      <c r="E79" s="3"/>
      <c r="F79" s="3"/>
      <c r="G79" s="3"/>
      <c r="H79" s="3"/>
      <c r="J79" s="3" t="str">
        <f ca="1">IFERROR(_xludf.XLOOKUP(B79,PRODUCT_MASTER!C2,PRODUCT_MASTER!C6),"")</f>
        <v/>
      </c>
      <c r="K79" s="3" t="str">
        <f t="shared" ca="1" si="6"/>
        <v/>
      </c>
      <c r="L79" s="3" t="str">
        <f t="shared" ca="1" si="7"/>
        <v/>
      </c>
      <c r="M79" s="4" t="str">
        <f t="shared" ca="1" si="8"/>
        <v/>
      </c>
    </row>
    <row r="80" spans="4:13">
      <c r="D80" s="3"/>
      <c r="E80" s="3"/>
      <c r="F80" s="3"/>
      <c r="G80" s="3"/>
      <c r="H80" s="3"/>
      <c r="J80" s="3" t="str">
        <f ca="1">IFERROR(_xludf.XLOOKUP(B80,PRODUCT_MASTER!C2,PRODUCT_MASTER!C6),"")</f>
        <v/>
      </c>
      <c r="K80" s="3" t="str">
        <f t="shared" ca="1" si="6"/>
        <v/>
      </c>
      <c r="L80" s="3" t="str">
        <f t="shared" ca="1" si="7"/>
        <v/>
      </c>
      <c r="M80" s="4" t="str">
        <f t="shared" ca="1" si="8"/>
        <v/>
      </c>
    </row>
    <row r="81" spans="4:13">
      <c r="D81" s="3"/>
      <c r="E81" s="3"/>
      <c r="F81" s="3"/>
      <c r="G81" s="3"/>
      <c r="H81" s="3"/>
      <c r="J81" s="3" t="str">
        <f ca="1">IFERROR(_xludf.XLOOKUP(B81,PRODUCT_MASTER!C2,PRODUCT_MASTER!C6),"")</f>
        <v/>
      </c>
      <c r="K81" s="3" t="str">
        <f t="shared" ca="1" si="6"/>
        <v/>
      </c>
      <c r="L81" s="3" t="str">
        <f t="shared" ca="1" si="7"/>
        <v/>
      </c>
      <c r="M81" s="4" t="str">
        <f t="shared" ca="1" si="8"/>
        <v/>
      </c>
    </row>
    <row r="82" spans="4:13">
      <c r="D82" s="3"/>
      <c r="E82" s="3"/>
      <c r="F82" s="3"/>
      <c r="G82" s="3"/>
      <c r="H82" s="3"/>
      <c r="J82" s="3" t="str">
        <f ca="1">IFERROR(_xludf.XLOOKUP(B82,PRODUCT_MASTER!C2,PRODUCT_MASTER!C6),"")</f>
        <v/>
      </c>
      <c r="K82" s="3" t="str">
        <f t="shared" ca="1" si="6"/>
        <v/>
      </c>
      <c r="L82" s="3" t="str">
        <f t="shared" ca="1" si="7"/>
        <v/>
      </c>
      <c r="M82" s="4" t="str">
        <f t="shared" ca="1" si="8"/>
        <v/>
      </c>
    </row>
    <row r="83" spans="4:13">
      <c r="D83" s="3"/>
      <c r="E83" s="3"/>
      <c r="F83" s="3"/>
      <c r="G83" s="3"/>
      <c r="H83" s="3"/>
      <c r="J83" s="3" t="str">
        <f ca="1">IFERROR(_xludf.XLOOKUP(B83,PRODUCT_MASTER!C2,PRODUCT_MASTER!C6),"")</f>
        <v/>
      </c>
      <c r="K83" s="3" t="str">
        <f t="shared" ca="1" si="6"/>
        <v/>
      </c>
      <c r="L83" s="3" t="str">
        <f t="shared" ca="1" si="7"/>
        <v/>
      </c>
      <c r="M83" s="4" t="str">
        <f t="shared" ca="1" si="8"/>
        <v/>
      </c>
    </row>
    <row r="84" spans="4:13">
      <c r="D84" s="3"/>
      <c r="E84" s="3"/>
      <c r="F84" s="3"/>
      <c r="G84" s="3"/>
      <c r="H84" s="3"/>
      <c r="J84" s="3" t="str">
        <f ca="1">IFERROR(_xludf.XLOOKUP(B84,PRODUCT_MASTER!C2,PRODUCT_MASTER!C6),"")</f>
        <v/>
      </c>
      <c r="K84" s="3" t="str">
        <f t="shared" ca="1" si="6"/>
        <v/>
      </c>
      <c r="L84" s="3" t="str">
        <f t="shared" ca="1" si="7"/>
        <v/>
      </c>
      <c r="M84" s="4" t="str">
        <f t="shared" ca="1" si="8"/>
        <v/>
      </c>
    </row>
    <row r="85" spans="4:13">
      <c r="D85" s="3"/>
      <c r="E85" s="3"/>
      <c r="F85" s="3"/>
      <c r="G85" s="3"/>
      <c r="H85" s="3"/>
      <c r="J85" s="3" t="str">
        <f ca="1">IFERROR(_xludf.XLOOKUP(B85,PRODUCT_MASTER!C2,PRODUCT_MASTER!C6),"")</f>
        <v/>
      </c>
      <c r="K85" s="3" t="str">
        <f t="shared" ca="1" si="6"/>
        <v/>
      </c>
      <c r="L85" s="3" t="str">
        <f t="shared" ca="1" si="7"/>
        <v/>
      </c>
      <c r="M85" s="4" t="str">
        <f t="shared" ca="1" si="8"/>
        <v/>
      </c>
    </row>
    <row r="86" spans="4:13">
      <c r="D86" s="3"/>
      <c r="E86" s="3"/>
      <c r="F86" s="3"/>
      <c r="G86" s="3"/>
      <c r="H86" s="3"/>
      <c r="J86" s="3" t="str">
        <f ca="1">IFERROR(_xludf.XLOOKUP(B86,PRODUCT_MASTER!C2,PRODUCT_MASTER!C6),"")</f>
        <v/>
      </c>
      <c r="K86" s="3" t="str">
        <f t="shared" ca="1" si="6"/>
        <v/>
      </c>
      <c r="L86" s="3" t="str">
        <f t="shared" ca="1" si="7"/>
        <v/>
      </c>
      <c r="M86" s="4" t="str">
        <f t="shared" ca="1" si="8"/>
        <v/>
      </c>
    </row>
    <row r="87" spans="4:13">
      <c r="D87" s="3"/>
      <c r="E87" s="3"/>
      <c r="F87" s="3"/>
      <c r="G87" s="3"/>
      <c r="H87" s="3"/>
      <c r="J87" s="3" t="str">
        <f ca="1">IFERROR(_xludf.XLOOKUP(B87,PRODUCT_MASTER!C2,PRODUCT_MASTER!C6),"")</f>
        <v/>
      </c>
      <c r="K87" s="3" t="str">
        <f t="shared" ca="1" si="6"/>
        <v/>
      </c>
      <c r="L87" s="3" t="str">
        <f t="shared" ca="1" si="7"/>
        <v/>
      </c>
      <c r="M87" s="4" t="str">
        <f t="shared" ca="1" si="8"/>
        <v/>
      </c>
    </row>
    <row r="88" spans="4:13">
      <c r="D88" s="3"/>
      <c r="E88" s="3"/>
      <c r="F88" s="3"/>
      <c r="G88" s="3"/>
      <c r="H88" s="3"/>
      <c r="J88" s="3" t="str">
        <f ca="1">IFERROR(_xludf.XLOOKUP(B88,PRODUCT_MASTER!C2,PRODUCT_MASTER!C6),"")</f>
        <v/>
      </c>
      <c r="K88" s="3" t="str">
        <f t="shared" ca="1" si="6"/>
        <v/>
      </c>
      <c r="L88" s="3" t="str">
        <f t="shared" ca="1" si="7"/>
        <v/>
      </c>
      <c r="M88" s="4" t="str">
        <f t="shared" ca="1" si="8"/>
        <v/>
      </c>
    </row>
    <row r="89" spans="4:13">
      <c r="D89" s="3"/>
      <c r="E89" s="3"/>
      <c r="F89" s="3"/>
      <c r="G89" s="3"/>
      <c r="H89" s="3"/>
      <c r="J89" s="3" t="str">
        <f ca="1">IFERROR(_xludf.XLOOKUP(B89,PRODUCT_MASTER!C2,PRODUCT_MASTER!C6),"")</f>
        <v/>
      </c>
      <c r="K89" s="3" t="str">
        <f t="shared" ca="1" si="6"/>
        <v/>
      </c>
      <c r="L89" s="3" t="str">
        <f t="shared" ca="1" si="7"/>
        <v/>
      </c>
      <c r="M89" s="4" t="str">
        <f t="shared" ca="1" si="8"/>
        <v/>
      </c>
    </row>
    <row r="90" spans="4:13">
      <c r="D90" s="3"/>
      <c r="E90" s="3"/>
      <c r="F90" s="3"/>
      <c r="G90" s="3"/>
      <c r="H90" s="3"/>
      <c r="J90" s="3" t="str">
        <f ca="1">IFERROR(_xludf.XLOOKUP(B90,PRODUCT_MASTER!C2,PRODUCT_MASTER!C6),"")</f>
        <v/>
      </c>
      <c r="K90" s="3" t="str">
        <f t="shared" ca="1" si="6"/>
        <v/>
      </c>
      <c r="L90" s="3" t="str">
        <f t="shared" ca="1" si="7"/>
        <v/>
      </c>
      <c r="M90" s="4" t="str">
        <f t="shared" ca="1" si="8"/>
        <v/>
      </c>
    </row>
    <row r="91" spans="4:13">
      <c r="D91" s="3"/>
      <c r="E91" s="3"/>
      <c r="F91" s="3"/>
      <c r="G91" s="3"/>
      <c r="H91" s="3"/>
      <c r="J91" s="3" t="str">
        <f ca="1">IFERROR(_xludf.XLOOKUP(B91,PRODUCT_MASTER!C2,PRODUCT_MASTER!C6),"")</f>
        <v/>
      </c>
      <c r="K91" s="3" t="str">
        <f t="shared" ca="1" si="6"/>
        <v/>
      </c>
      <c r="L91" s="3" t="str">
        <f t="shared" ca="1" si="7"/>
        <v/>
      </c>
      <c r="M91" s="4" t="str">
        <f t="shared" ca="1" si="8"/>
        <v/>
      </c>
    </row>
    <row r="92" spans="4:13">
      <c r="D92" s="3"/>
      <c r="E92" s="3"/>
      <c r="F92" s="3"/>
      <c r="G92" s="3"/>
      <c r="H92" s="3"/>
      <c r="J92" s="3" t="str">
        <f ca="1">IFERROR(_xludf.XLOOKUP(B92,PRODUCT_MASTER!C2,PRODUCT_MASTER!C6),"")</f>
        <v/>
      </c>
      <c r="K92" s="3" t="str">
        <f t="shared" ca="1" si="6"/>
        <v/>
      </c>
      <c r="L92" s="3" t="str">
        <f t="shared" ca="1" si="7"/>
        <v/>
      </c>
      <c r="M92" s="4" t="str">
        <f t="shared" ca="1" si="8"/>
        <v/>
      </c>
    </row>
    <row r="93" spans="4:13">
      <c r="D93" s="3"/>
      <c r="E93" s="3"/>
      <c r="F93" s="3"/>
      <c r="G93" s="3"/>
      <c r="H93" s="3"/>
      <c r="J93" s="3" t="str">
        <f ca="1">IFERROR(_xludf.XLOOKUP(B93,PRODUCT_MASTER!C2,PRODUCT_MASTER!C6),"")</f>
        <v/>
      </c>
      <c r="K93" s="3" t="str">
        <f t="shared" ca="1" si="6"/>
        <v/>
      </c>
      <c r="L93" s="3" t="str">
        <f t="shared" ca="1" si="7"/>
        <v/>
      </c>
      <c r="M93" s="4" t="str">
        <f t="shared" ca="1" si="8"/>
        <v/>
      </c>
    </row>
    <row r="94" spans="4:13">
      <c r="D94" s="3"/>
      <c r="E94" s="3"/>
      <c r="F94" s="3"/>
      <c r="G94" s="3"/>
      <c r="H94" s="3"/>
      <c r="J94" s="3" t="str">
        <f ca="1">IFERROR(_xludf.XLOOKUP(B94,PRODUCT_MASTER!C2,PRODUCT_MASTER!C6),"")</f>
        <v/>
      </c>
      <c r="K94" s="3" t="str">
        <f t="shared" ca="1" si="6"/>
        <v/>
      </c>
      <c r="L94" s="3" t="str">
        <f t="shared" ca="1" si="7"/>
        <v/>
      </c>
      <c r="M94" s="4" t="str">
        <f t="shared" ca="1" si="8"/>
        <v/>
      </c>
    </row>
    <row r="95" spans="4:13">
      <c r="D95" s="3"/>
      <c r="E95" s="3"/>
      <c r="F95" s="3"/>
      <c r="G95" s="3"/>
      <c r="H95" s="3"/>
      <c r="J95" s="3" t="str">
        <f ca="1">IFERROR(_xludf.XLOOKUP(B95,PRODUCT_MASTER!C2,PRODUCT_MASTER!C6),"")</f>
        <v/>
      </c>
      <c r="K95" s="3" t="str">
        <f t="shared" ca="1" si="6"/>
        <v/>
      </c>
      <c r="L95" s="3" t="str">
        <f t="shared" ca="1" si="7"/>
        <v/>
      </c>
      <c r="M95" s="4" t="str">
        <f t="shared" ca="1" si="8"/>
        <v/>
      </c>
    </row>
    <row r="96" spans="4:13">
      <c r="D96" s="3"/>
      <c r="E96" s="3"/>
      <c r="F96" s="3"/>
      <c r="G96" s="3"/>
      <c r="H96" s="3"/>
      <c r="J96" s="3" t="str">
        <f ca="1">IFERROR(_xludf.XLOOKUP(B96,PRODUCT_MASTER!C2,PRODUCT_MASTER!C6),"")</f>
        <v/>
      </c>
      <c r="K96" s="3" t="str">
        <f t="shared" ca="1" si="6"/>
        <v/>
      </c>
      <c r="L96" s="3" t="str">
        <f t="shared" ca="1" si="7"/>
        <v/>
      </c>
      <c r="M96" s="4" t="str">
        <f t="shared" ca="1" si="8"/>
        <v/>
      </c>
    </row>
    <row r="97" spans="4:13">
      <c r="D97" s="3"/>
      <c r="E97" s="3"/>
      <c r="F97" s="3"/>
      <c r="G97" s="3"/>
      <c r="H97" s="3"/>
      <c r="J97" s="3" t="str">
        <f ca="1">IFERROR(_xludf.XLOOKUP(B97,PRODUCT_MASTER!C2,PRODUCT_MASTER!C6),"")</f>
        <v/>
      </c>
      <c r="K97" s="3" t="str">
        <f t="shared" ca="1" si="6"/>
        <v/>
      </c>
      <c r="L97" s="3" t="str">
        <f t="shared" ca="1" si="7"/>
        <v/>
      </c>
      <c r="M97" s="4" t="str">
        <f t="shared" ca="1" si="8"/>
        <v/>
      </c>
    </row>
    <row r="98" spans="4:13">
      <c r="D98" s="3"/>
      <c r="E98" s="3"/>
      <c r="F98" s="3"/>
      <c r="G98" s="3"/>
      <c r="H98" s="3"/>
      <c r="J98" s="3" t="str">
        <f ca="1">IFERROR(_xludf.XLOOKUP(B98,PRODUCT_MASTER!C2,PRODUCT_MASTER!C6),"")</f>
        <v/>
      </c>
      <c r="K98" s="3" t="str">
        <f t="shared" ref="K98:K129" ca="1" si="9">IFERROR(D98*J98,"")</f>
        <v/>
      </c>
      <c r="L98" s="3" t="str">
        <f t="shared" ref="L98:L129" ca="1" si="10">IFERROR(F98-K98,"")</f>
        <v/>
      </c>
      <c r="M98" s="4" t="str">
        <f t="shared" ref="M98:M129" ca="1" si="11">IFERROR(L98/F98,"")</f>
        <v/>
      </c>
    </row>
    <row r="99" spans="4:13">
      <c r="D99" s="3"/>
      <c r="E99" s="3"/>
      <c r="F99" s="3"/>
      <c r="G99" s="3"/>
      <c r="H99" s="3"/>
      <c r="J99" s="3" t="str">
        <f ca="1">IFERROR(_xludf.XLOOKUP(B99,PRODUCT_MASTER!C2,PRODUCT_MASTER!C6),"")</f>
        <v/>
      </c>
      <c r="K99" s="3" t="str">
        <f t="shared" ca="1" si="9"/>
        <v/>
      </c>
      <c r="L99" s="3" t="str">
        <f t="shared" ca="1" si="10"/>
        <v/>
      </c>
      <c r="M99" s="4" t="str">
        <f t="shared" ca="1" si="11"/>
        <v/>
      </c>
    </row>
    <row r="100" spans="4:13">
      <c r="D100" s="3"/>
      <c r="E100" s="3"/>
      <c r="F100" s="3"/>
      <c r="G100" s="3"/>
      <c r="H100" s="3"/>
      <c r="J100" s="3" t="str">
        <f ca="1">IFERROR(_xludf.XLOOKUP(B100,PRODUCT_MASTER!C2,PRODUCT_MASTER!C6),"")</f>
        <v/>
      </c>
      <c r="K100" s="3" t="str">
        <f t="shared" ca="1" si="9"/>
        <v/>
      </c>
      <c r="L100" s="3" t="str">
        <f t="shared" ca="1" si="10"/>
        <v/>
      </c>
      <c r="M100" s="4" t="str">
        <f t="shared" ca="1" si="11"/>
        <v/>
      </c>
    </row>
    <row r="101" spans="4:13">
      <c r="D101" s="3"/>
      <c r="E101" s="3"/>
      <c r="F101" s="3"/>
      <c r="G101" s="3"/>
      <c r="H101" s="3"/>
      <c r="J101" s="3" t="str">
        <f ca="1">IFERROR(_xludf.XLOOKUP(B101,PRODUCT_MASTER!C2,PRODUCT_MASTER!C6),"")</f>
        <v/>
      </c>
      <c r="K101" s="3" t="str">
        <f t="shared" ca="1" si="9"/>
        <v/>
      </c>
      <c r="L101" s="3" t="str">
        <f t="shared" ca="1" si="10"/>
        <v/>
      </c>
      <c r="M101" s="4" t="str">
        <f t="shared" ca="1" si="11"/>
        <v/>
      </c>
    </row>
    <row r="102" spans="4:13">
      <c r="D102" s="3"/>
      <c r="E102" s="3"/>
      <c r="F102" s="3"/>
      <c r="G102" s="3"/>
      <c r="H102" s="3"/>
      <c r="J102" s="3" t="str">
        <f ca="1">IFERROR(_xludf.XLOOKUP(B102,PRODUCT_MASTER!C2,PRODUCT_MASTER!C6),"")</f>
        <v/>
      </c>
      <c r="K102" s="3" t="str">
        <f t="shared" ca="1" si="9"/>
        <v/>
      </c>
      <c r="L102" s="3" t="str">
        <f t="shared" ca="1" si="10"/>
        <v/>
      </c>
      <c r="M102" s="4" t="str">
        <f t="shared" ca="1" si="11"/>
        <v/>
      </c>
    </row>
    <row r="103" spans="4:13">
      <c r="D103" s="3"/>
      <c r="E103" s="3"/>
      <c r="F103" s="3"/>
      <c r="G103" s="3"/>
      <c r="H103" s="3"/>
      <c r="J103" s="3" t="str">
        <f ca="1">IFERROR(_xludf.XLOOKUP(B103,PRODUCT_MASTER!C2,PRODUCT_MASTER!C6),"")</f>
        <v/>
      </c>
      <c r="K103" s="3" t="str">
        <f t="shared" ca="1" si="9"/>
        <v/>
      </c>
      <c r="L103" s="3" t="str">
        <f t="shared" ca="1" si="10"/>
        <v/>
      </c>
      <c r="M103" s="4" t="str">
        <f t="shared" ca="1" si="11"/>
        <v/>
      </c>
    </row>
    <row r="104" spans="4:13">
      <c r="D104" s="3"/>
      <c r="E104" s="3"/>
      <c r="F104" s="3"/>
      <c r="G104" s="3"/>
      <c r="H104" s="3"/>
      <c r="J104" s="3" t="str">
        <f ca="1">IFERROR(_xludf.XLOOKUP(B104,PRODUCT_MASTER!C2,PRODUCT_MASTER!C6),"")</f>
        <v/>
      </c>
      <c r="K104" s="3" t="str">
        <f t="shared" ca="1" si="9"/>
        <v/>
      </c>
      <c r="L104" s="3" t="str">
        <f t="shared" ca="1" si="10"/>
        <v/>
      </c>
      <c r="M104" s="4" t="str">
        <f t="shared" ca="1" si="11"/>
        <v/>
      </c>
    </row>
    <row r="105" spans="4:13">
      <c r="D105" s="3"/>
      <c r="E105" s="3"/>
      <c r="F105" s="3"/>
      <c r="G105" s="3"/>
      <c r="H105" s="3"/>
      <c r="J105" s="3" t="str">
        <f ca="1">IFERROR(_xludf.XLOOKUP(B105,PRODUCT_MASTER!C2,PRODUCT_MASTER!C6),"")</f>
        <v/>
      </c>
      <c r="K105" s="3" t="str">
        <f t="shared" ca="1" si="9"/>
        <v/>
      </c>
      <c r="L105" s="3" t="str">
        <f t="shared" ca="1" si="10"/>
        <v/>
      </c>
      <c r="M105" s="4" t="str">
        <f t="shared" ca="1" si="11"/>
        <v/>
      </c>
    </row>
    <row r="106" spans="4:13">
      <c r="D106" s="3"/>
      <c r="E106" s="3"/>
      <c r="F106" s="3"/>
      <c r="G106" s="3"/>
      <c r="H106" s="3"/>
      <c r="J106" s="3" t="str">
        <f ca="1">IFERROR(_xludf.XLOOKUP(B106,PRODUCT_MASTER!C2,PRODUCT_MASTER!C6),"")</f>
        <v/>
      </c>
      <c r="K106" s="3" t="str">
        <f t="shared" ca="1" si="9"/>
        <v/>
      </c>
      <c r="L106" s="3" t="str">
        <f t="shared" ca="1" si="10"/>
        <v/>
      </c>
      <c r="M106" s="4" t="str">
        <f t="shared" ca="1" si="11"/>
        <v/>
      </c>
    </row>
    <row r="107" spans="4:13">
      <c r="D107" s="3"/>
      <c r="E107" s="3"/>
      <c r="F107" s="3"/>
      <c r="G107" s="3"/>
      <c r="H107" s="3"/>
      <c r="J107" s="3" t="str">
        <f ca="1">IFERROR(_xludf.XLOOKUP(B107,PRODUCT_MASTER!C2,PRODUCT_MASTER!C6),"")</f>
        <v/>
      </c>
      <c r="K107" s="3" t="str">
        <f t="shared" ca="1" si="9"/>
        <v/>
      </c>
      <c r="L107" s="3" t="str">
        <f t="shared" ca="1" si="10"/>
        <v/>
      </c>
      <c r="M107" s="4" t="str">
        <f t="shared" ca="1" si="11"/>
        <v/>
      </c>
    </row>
    <row r="108" spans="4:13">
      <c r="D108" s="3"/>
      <c r="E108" s="3"/>
      <c r="F108" s="3"/>
      <c r="G108" s="3"/>
      <c r="H108" s="3"/>
      <c r="J108" s="3" t="str">
        <f ca="1">IFERROR(_xludf.XLOOKUP(B108,PRODUCT_MASTER!C2,PRODUCT_MASTER!C6),"")</f>
        <v/>
      </c>
      <c r="K108" s="3" t="str">
        <f t="shared" ca="1" si="9"/>
        <v/>
      </c>
      <c r="L108" s="3" t="str">
        <f t="shared" ca="1" si="10"/>
        <v/>
      </c>
      <c r="M108" s="4" t="str">
        <f t="shared" ca="1" si="11"/>
        <v/>
      </c>
    </row>
    <row r="109" spans="4:13">
      <c r="D109" s="3"/>
      <c r="E109" s="3"/>
      <c r="F109" s="3"/>
      <c r="G109" s="3"/>
      <c r="H109" s="3"/>
      <c r="J109" s="3" t="str">
        <f ca="1">IFERROR(_xludf.XLOOKUP(B109,PRODUCT_MASTER!C2,PRODUCT_MASTER!C6),"")</f>
        <v/>
      </c>
      <c r="K109" s="3" t="str">
        <f t="shared" ca="1" si="9"/>
        <v/>
      </c>
      <c r="L109" s="3" t="str">
        <f t="shared" ca="1" si="10"/>
        <v/>
      </c>
      <c r="M109" s="4" t="str">
        <f t="shared" ca="1" si="11"/>
        <v/>
      </c>
    </row>
    <row r="110" spans="4:13">
      <c r="D110" s="3"/>
      <c r="E110" s="3"/>
      <c r="F110" s="3"/>
      <c r="G110" s="3"/>
      <c r="H110" s="3"/>
      <c r="J110" s="3" t="str">
        <f ca="1">IFERROR(_xludf.XLOOKUP(B110,PRODUCT_MASTER!C2,PRODUCT_MASTER!C6),"")</f>
        <v/>
      </c>
      <c r="K110" s="3" t="str">
        <f t="shared" ca="1" si="9"/>
        <v/>
      </c>
      <c r="L110" s="3" t="str">
        <f t="shared" ca="1" si="10"/>
        <v/>
      </c>
      <c r="M110" s="4" t="str">
        <f t="shared" ca="1" si="11"/>
        <v/>
      </c>
    </row>
    <row r="111" spans="4:13">
      <c r="D111" s="3"/>
      <c r="E111" s="3"/>
      <c r="F111" s="3"/>
      <c r="G111" s="3"/>
      <c r="H111" s="3"/>
      <c r="J111" s="3" t="str">
        <f ca="1">IFERROR(_xludf.XLOOKUP(B111,PRODUCT_MASTER!C2,PRODUCT_MASTER!C6),"")</f>
        <v/>
      </c>
      <c r="K111" s="3" t="str">
        <f t="shared" ca="1" si="9"/>
        <v/>
      </c>
      <c r="L111" s="3" t="str">
        <f t="shared" ca="1" si="10"/>
        <v/>
      </c>
      <c r="M111" s="4" t="str">
        <f t="shared" ca="1" si="11"/>
        <v/>
      </c>
    </row>
    <row r="112" spans="4:13">
      <c r="D112" s="3"/>
      <c r="E112" s="3"/>
      <c r="F112" s="3"/>
      <c r="G112" s="3"/>
      <c r="H112" s="3"/>
      <c r="J112" s="3" t="str">
        <f ca="1">IFERROR(_xludf.XLOOKUP(B112,PRODUCT_MASTER!C2,PRODUCT_MASTER!C6),"")</f>
        <v/>
      </c>
      <c r="K112" s="3" t="str">
        <f t="shared" ca="1" si="9"/>
        <v/>
      </c>
      <c r="L112" s="3" t="str">
        <f t="shared" ca="1" si="10"/>
        <v/>
      </c>
      <c r="M112" s="4" t="str">
        <f t="shared" ca="1" si="11"/>
        <v/>
      </c>
    </row>
    <row r="113" spans="4:13">
      <c r="D113" s="3"/>
      <c r="E113" s="3"/>
      <c r="F113" s="3"/>
      <c r="G113" s="3"/>
      <c r="H113" s="3"/>
      <c r="J113" s="3" t="str">
        <f ca="1">IFERROR(_xludf.XLOOKUP(B113,PRODUCT_MASTER!C2,PRODUCT_MASTER!C6),"")</f>
        <v/>
      </c>
      <c r="K113" s="3" t="str">
        <f t="shared" ca="1" si="9"/>
        <v/>
      </c>
      <c r="L113" s="3" t="str">
        <f t="shared" ca="1" si="10"/>
        <v/>
      </c>
      <c r="M113" s="4" t="str">
        <f t="shared" ca="1" si="11"/>
        <v/>
      </c>
    </row>
    <row r="114" spans="4:13">
      <c r="D114" s="3"/>
      <c r="E114" s="3"/>
      <c r="F114" s="3"/>
      <c r="G114" s="3"/>
      <c r="H114" s="3"/>
      <c r="J114" s="3" t="str">
        <f ca="1">IFERROR(_xludf.XLOOKUP(B114,PRODUCT_MASTER!C2,PRODUCT_MASTER!C6),"")</f>
        <v/>
      </c>
      <c r="K114" s="3" t="str">
        <f t="shared" ca="1" si="9"/>
        <v/>
      </c>
      <c r="L114" s="3" t="str">
        <f t="shared" ca="1" si="10"/>
        <v/>
      </c>
      <c r="M114" s="4" t="str">
        <f t="shared" ca="1" si="11"/>
        <v/>
      </c>
    </row>
    <row r="115" spans="4:13">
      <c r="D115" s="3"/>
      <c r="E115" s="3"/>
      <c r="F115" s="3"/>
      <c r="G115" s="3"/>
      <c r="H115" s="3"/>
      <c r="J115" s="3" t="str">
        <f ca="1">IFERROR(_xludf.XLOOKUP(B115,PRODUCT_MASTER!C2,PRODUCT_MASTER!C6),"")</f>
        <v/>
      </c>
      <c r="K115" s="3" t="str">
        <f t="shared" ca="1" si="9"/>
        <v/>
      </c>
      <c r="L115" s="3" t="str">
        <f t="shared" ca="1" si="10"/>
        <v/>
      </c>
      <c r="M115" s="4" t="str">
        <f t="shared" ca="1" si="11"/>
        <v/>
      </c>
    </row>
    <row r="116" spans="4:13">
      <c r="D116" s="3"/>
      <c r="E116" s="3"/>
      <c r="F116" s="3"/>
      <c r="G116" s="3"/>
      <c r="H116" s="3"/>
      <c r="J116" s="3" t="str">
        <f ca="1">IFERROR(_xludf.XLOOKUP(B116,PRODUCT_MASTER!C2,PRODUCT_MASTER!C6),"")</f>
        <v/>
      </c>
      <c r="K116" s="3" t="str">
        <f t="shared" ca="1" si="9"/>
        <v/>
      </c>
      <c r="L116" s="3" t="str">
        <f t="shared" ca="1" si="10"/>
        <v/>
      </c>
      <c r="M116" s="4" t="str">
        <f t="shared" ca="1" si="11"/>
        <v/>
      </c>
    </row>
    <row r="117" spans="4:13">
      <c r="D117" s="3"/>
      <c r="E117" s="3"/>
      <c r="F117" s="3"/>
      <c r="G117" s="3"/>
      <c r="H117" s="3"/>
      <c r="J117" s="3" t="str">
        <f ca="1">IFERROR(_xludf.XLOOKUP(B117,PRODUCT_MASTER!C2,PRODUCT_MASTER!C6),"")</f>
        <v/>
      </c>
      <c r="K117" s="3" t="str">
        <f t="shared" ca="1" si="9"/>
        <v/>
      </c>
      <c r="L117" s="3" t="str">
        <f t="shared" ca="1" si="10"/>
        <v/>
      </c>
      <c r="M117" s="4" t="str">
        <f t="shared" ca="1" si="11"/>
        <v/>
      </c>
    </row>
    <row r="118" spans="4:13">
      <c r="D118" s="3"/>
      <c r="E118" s="3"/>
      <c r="F118" s="3"/>
      <c r="G118" s="3"/>
      <c r="H118" s="3"/>
      <c r="J118" s="3" t="str">
        <f ca="1">IFERROR(_xludf.XLOOKUP(B118,PRODUCT_MASTER!C2,PRODUCT_MASTER!C6),"")</f>
        <v/>
      </c>
      <c r="K118" s="3" t="str">
        <f t="shared" ca="1" si="9"/>
        <v/>
      </c>
      <c r="L118" s="3" t="str">
        <f t="shared" ca="1" si="10"/>
        <v/>
      </c>
      <c r="M118" s="4" t="str">
        <f t="shared" ca="1" si="11"/>
        <v/>
      </c>
    </row>
    <row r="119" spans="4:13">
      <c r="D119" s="3"/>
      <c r="E119" s="3"/>
      <c r="F119" s="3"/>
      <c r="G119" s="3"/>
      <c r="H119" s="3"/>
      <c r="J119" s="3" t="str">
        <f ca="1">IFERROR(_xludf.XLOOKUP(B119,PRODUCT_MASTER!C2,PRODUCT_MASTER!C6),"")</f>
        <v/>
      </c>
      <c r="K119" s="3" t="str">
        <f t="shared" ca="1" si="9"/>
        <v/>
      </c>
      <c r="L119" s="3" t="str">
        <f t="shared" ca="1" si="10"/>
        <v/>
      </c>
      <c r="M119" s="4" t="str">
        <f t="shared" ca="1" si="11"/>
        <v/>
      </c>
    </row>
    <row r="120" spans="4:13">
      <c r="D120" s="3"/>
      <c r="E120" s="3"/>
      <c r="F120" s="3"/>
      <c r="G120" s="3"/>
      <c r="H120" s="3"/>
      <c r="J120" s="3" t="str">
        <f ca="1">IFERROR(_xludf.XLOOKUP(B120,PRODUCT_MASTER!C2,PRODUCT_MASTER!C6),"")</f>
        <v/>
      </c>
      <c r="K120" s="3" t="str">
        <f t="shared" ca="1" si="9"/>
        <v/>
      </c>
      <c r="L120" s="3" t="str">
        <f t="shared" ca="1" si="10"/>
        <v/>
      </c>
      <c r="M120" s="4" t="str">
        <f t="shared" ca="1" si="11"/>
        <v/>
      </c>
    </row>
    <row r="121" spans="4:13">
      <c r="D121" s="3"/>
      <c r="E121" s="3"/>
      <c r="F121" s="3"/>
      <c r="G121" s="3"/>
      <c r="H121" s="3"/>
      <c r="J121" s="3" t="str">
        <f ca="1">IFERROR(_xludf.XLOOKUP(B121,PRODUCT_MASTER!C2,PRODUCT_MASTER!C6),"")</f>
        <v/>
      </c>
      <c r="K121" s="3" t="str">
        <f t="shared" ca="1" si="9"/>
        <v/>
      </c>
      <c r="L121" s="3" t="str">
        <f t="shared" ca="1" si="10"/>
        <v/>
      </c>
      <c r="M121" s="4" t="str">
        <f t="shared" ca="1" si="11"/>
        <v/>
      </c>
    </row>
    <row r="122" spans="4:13">
      <c r="D122" s="3"/>
      <c r="E122" s="3"/>
      <c r="F122" s="3"/>
      <c r="G122" s="3"/>
      <c r="H122" s="3"/>
      <c r="J122" s="3" t="str">
        <f ca="1">IFERROR(_xludf.XLOOKUP(B122,PRODUCT_MASTER!C2,PRODUCT_MASTER!C6),"")</f>
        <v/>
      </c>
      <c r="K122" s="3" t="str">
        <f t="shared" ca="1" si="9"/>
        <v/>
      </c>
      <c r="L122" s="3" t="str">
        <f t="shared" ca="1" si="10"/>
        <v/>
      </c>
      <c r="M122" s="4" t="str">
        <f t="shared" ca="1" si="11"/>
        <v/>
      </c>
    </row>
    <row r="123" spans="4:13">
      <c r="D123" s="3"/>
      <c r="E123" s="3"/>
      <c r="F123" s="3"/>
      <c r="G123" s="3"/>
      <c r="H123" s="3"/>
      <c r="J123" s="3" t="str">
        <f ca="1">IFERROR(_xludf.XLOOKUP(B123,PRODUCT_MASTER!C2,PRODUCT_MASTER!C6),"")</f>
        <v/>
      </c>
      <c r="K123" s="3" t="str">
        <f t="shared" ca="1" si="9"/>
        <v/>
      </c>
      <c r="L123" s="3" t="str">
        <f t="shared" ca="1" si="10"/>
        <v/>
      </c>
      <c r="M123" s="4" t="str">
        <f t="shared" ca="1" si="11"/>
        <v/>
      </c>
    </row>
    <row r="124" spans="4:13">
      <c r="D124" s="3"/>
      <c r="E124" s="3"/>
      <c r="F124" s="3"/>
      <c r="G124" s="3"/>
      <c r="H124" s="3"/>
      <c r="J124" s="3" t="str">
        <f ca="1">IFERROR(_xludf.XLOOKUP(B124,PRODUCT_MASTER!C2,PRODUCT_MASTER!C6),"")</f>
        <v/>
      </c>
      <c r="K124" s="3" t="str">
        <f t="shared" ca="1" si="9"/>
        <v/>
      </c>
      <c r="L124" s="3" t="str">
        <f t="shared" ca="1" si="10"/>
        <v/>
      </c>
      <c r="M124" s="4" t="str">
        <f t="shared" ca="1" si="11"/>
        <v/>
      </c>
    </row>
    <row r="125" spans="4:13">
      <c r="D125" s="3"/>
      <c r="E125" s="3"/>
      <c r="F125" s="3"/>
      <c r="G125" s="3"/>
      <c r="H125" s="3"/>
      <c r="J125" s="3" t="str">
        <f ca="1">IFERROR(_xludf.XLOOKUP(B125,PRODUCT_MASTER!C2,PRODUCT_MASTER!C6),"")</f>
        <v/>
      </c>
      <c r="K125" s="3" t="str">
        <f t="shared" ca="1" si="9"/>
        <v/>
      </c>
      <c r="L125" s="3" t="str">
        <f t="shared" ca="1" si="10"/>
        <v/>
      </c>
      <c r="M125" s="4" t="str">
        <f t="shared" ca="1" si="11"/>
        <v/>
      </c>
    </row>
    <row r="126" spans="4:13">
      <c r="D126" s="3"/>
      <c r="E126" s="3"/>
      <c r="F126" s="3"/>
      <c r="G126" s="3"/>
      <c r="H126" s="3"/>
      <c r="J126" s="3" t="str">
        <f ca="1">IFERROR(_xludf.XLOOKUP(B126,PRODUCT_MASTER!C2,PRODUCT_MASTER!C6),"")</f>
        <v/>
      </c>
      <c r="K126" s="3" t="str">
        <f t="shared" ca="1" si="9"/>
        <v/>
      </c>
      <c r="L126" s="3" t="str">
        <f t="shared" ca="1" si="10"/>
        <v/>
      </c>
      <c r="M126" s="4" t="str">
        <f t="shared" ca="1" si="11"/>
        <v/>
      </c>
    </row>
    <row r="127" spans="4:13">
      <c r="D127" s="3"/>
      <c r="E127" s="3"/>
      <c r="F127" s="3"/>
      <c r="G127" s="3"/>
      <c r="H127" s="3"/>
      <c r="J127" s="3" t="str">
        <f ca="1">IFERROR(_xludf.XLOOKUP(B127,PRODUCT_MASTER!C2,PRODUCT_MASTER!C6),"")</f>
        <v/>
      </c>
      <c r="K127" s="3" t="str">
        <f t="shared" ca="1" si="9"/>
        <v/>
      </c>
      <c r="L127" s="3" t="str">
        <f t="shared" ca="1" si="10"/>
        <v/>
      </c>
      <c r="M127" s="4" t="str">
        <f t="shared" ca="1" si="11"/>
        <v/>
      </c>
    </row>
    <row r="128" spans="4:13">
      <c r="D128" s="3"/>
      <c r="E128" s="3"/>
      <c r="F128" s="3"/>
      <c r="G128" s="3"/>
      <c r="H128" s="3"/>
      <c r="J128" s="3" t="str">
        <f ca="1">IFERROR(_xludf.XLOOKUP(B128,PRODUCT_MASTER!C2,PRODUCT_MASTER!C6),"")</f>
        <v/>
      </c>
      <c r="K128" s="3" t="str">
        <f t="shared" ca="1" si="9"/>
        <v/>
      </c>
      <c r="L128" s="3" t="str">
        <f t="shared" ca="1" si="10"/>
        <v/>
      </c>
      <c r="M128" s="4" t="str">
        <f t="shared" ca="1" si="11"/>
        <v/>
      </c>
    </row>
    <row r="129" spans="4:13">
      <c r="D129" s="3"/>
      <c r="E129" s="3"/>
      <c r="F129" s="3"/>
      <c r="G129" s="3"/>
      <c r="H129" s="3"/>
      <c r="J129" s="3" t="str">
        <f ca="1">IFERROR(_xludf.XLOOKUP(B129,PRODUCT_MASTER!C2,PRODUCT_MASTER!C6),"")</f>
        <v/>
      </c>
      <c r="K129" s="3" t="str">
        <f t="shared" ca="1" si="9"/>
        <v/>
      </c>
      <c r="L129" s="3" t="str">
        <f t="shared" ca="1" si="10"/>
        <v/>
      </c>
      <c r="M129" s="4" t="str">
        <f t="shared" ca="1" si="11"/>
        <v/>
      </c>
    </row>
    <row r="130" spans="4:13">
      <c r="D130" s="3"/>
      <c r="E130" s="3"/>
      <c r="F130" s="3"/>
      <c r="G130" s="3"/>
      <c r="H130" s="3"/>
      <c r="J130" s="3" t="str">
        <f ca="1">IFERROR(_xludf.XLOOKUP(B130,PRODUCT_MASTER!C2,PRODUCT_MASTER!C6),"")</f>
        <v/>
      </c>
      <c r="K130" s="3" t="str">
        <f t="shared" ref="K130:K161" ca="1" si="12">IFERROR(D130*J130,"")</f>
        <v/>
      </c>
      <c r="L130" s="3" t="str">
        <f t="shared" ref="L130:L161" ca="1" si="13">IFERROR(F130-K130,"")</f>
        <v/>
      </c>
      <c r="M130" s="4" t="str">
        <f t="shared" ref="M130:M161" ca="1" si="14">IFERROR(L130/F130,"")</f>
        <v/>
      </c>
    </row>
    <row r="131" spans="4:13">
      <c r="D131" s="3"/>
      <c r="E131" s="3"/>
      <c r="F131" s="3"/>
      <c r="G131" s="3"/>
      <c r="H131" s="3"/>
      <c r="J131" s="3" t="str">
        <f ca="1">IFERROR(_xludf.XLOOKUP(B131,PRODUCT_MASTER!C2,PRODUCT_MASTER!C6),"")</f>
        <v/>
      </c>
      <c r="K131" s="3" t="str">
        <f t="shared" ca="1" si="12"/>
        <v/>
      </c>
      <c r="L131" s="3" t="str">
        <f t="shared" ca="1" si="13"/>
        <v/>
      </c>
      <c r="M131" s="4" t="str">
        <f t="shared" ca="1" si="14"/>
        <v/>
      </c>
    </row>
    <row r="132" spans="4:13">
      <c r="D132" s="3"/>
      <c r="E132" s="3"/>
      <c r="F132" s="3"/>
      <c r="G132" s="3"/>
      <c r="H132" s="3"/>
      <c r="J132" s="3" t="str">
        <f ca="1">IFERROR(_xludf.XLOOKUP(B132,PRODUCT_MASTER!C2,PRODUCT_MASTER!C6),"")</f>
        <v/>
      </c>
      <c r="K132" s="3" t="str">
        <f t="shared" ca="1" si="12"/>
        <v/>
      </c>
      <c r="L132" s="3" t="str">
        <f t="shared" ca="1" si="13"/>
        <v/>
      </c>
      <c r="M132" s="4" t="str">
        <f t="shared" ca="1" si="14"/>
        <v/>
      </c>
    </row>
    <row r="133" spans="4:13">
      <c r="D133" s="3"/>
      <c r="E133" s="3"/>
      <c r="F133" s="3"/>
      <c r="G133" s="3"/>
      <c r="H133" s="3"/>
      <c r="J133" s="3" t="str">
        <f ca="1">IFERROR(_xludf.XLOOKUP(B133,PRODUCT_MASTER!C2,PRODUCT_MASTER!C6),"")</f>
        <v/>
      </c>
      <c r="K133" s="3" t="str">
        <f t="shared" ca="1" si="12"/>
        <v/>
      </c>
      <c r="L133" s="3" t="str">
        <f t="shared" ca="1" si="13"/>
        <v/>
      </c>
      <c r="M133" s="4" t="str">
        <f t="shared" ca="1" si="14"/>
        <v/>
      </c>
    </row>
    <row r="134" spans="4:13">
      <c r="D134" s="3"/>
      <c r="E134" s="3"/>
      <c r="F134" s="3"/>
      <c r="G134" s="3"/>
      <c r="H134" s="3"/>
      <c r="J134" s="3" t="str">
        <f ca="1">IFERROR(_xludf.XLOOKUP(B134,PRODUCT_MASTER!C2,PRODUCT_MASTER!C6),"")</f>
        <v/>
      </c>
      <c r="K134" s="3" t="str">
        <f t="shared" ca="1" si="12"/>
        <v/>
      </c>
      <c r="L134" s="3" t="str">
        <f t="shared" ca="1" si="13"/>
        <v/>
      </c>
      <c r="M134" s="4" t="str">
        <f t="shared" ca="1" si="14"/>
        <v/>
      </c>
    </row>
    <row r="135" spans="4:13">
      <c r="D135" s="3"/>
      <c r="E135" s="3"/>
      <c r="F135" s="3"/>
      <c r="G135" s="3"/>
      <c r="H135" s="3"/>
      <c r="J135" s="3" t="str">
        <f ca="1">IFERROR(_xludf.XLOOKUP(B135,PRODUCT_MASTER!C2,PRODUCT_MASTER!C6),"")</f>
        <v/>
      </c>
      <c r="K135" s="3" t="str">
        <f t="shared" ca="1" si="12"/>
        <v/>
      </c>
      <c r="L135" s="3" t="str">
        <f t="shared" ca="1" si="13"/>
        <v/>
      </c>
      <c r="M135" s="4" t="str">
        <f t="shared" ca="1" si="14"/>
        <v/>
      </c>
    </row>
    <row r="136" spans="4:13">
      <c r="D136" s="3"/>
      <c r="E136" s="3"/>
      <c r="F136" s="3"/>
      <c r="G136" s="3"/>
      <c r="H136" s="3"/>
      <c r="J136" s="3" t="str">
        <f ca="1">IFERROR(_xludf.XLOOKUP(B136,PRODUCT_MASTER!C2,PRODUCT_MASTER!C6),"")</f>
        <v/>
      </c>
      <c r="K136" s="3" t="str">
        <f t="shared" ca="1" si="12"/>
        <v/>
      </c>
      <c r="L136" s="3" t="str">
        <f t="shared" ca="1" si="13"/>
        <v/>
      </c>
      <c r="M136" s="4" t="str">
        <f t="shared" ca="1" si="14"/>
        <v/>
      </c>
    </row>
    <row r="137" spans="4:13">
      <c r="D137" s="3"/>
      <c r="E137" s="3"/>
      <c r="F137" s="3"/>
      <c r="G137" s="3"/>
      <c r="H137" s="3"/>
      <c r="J137" s="3" t="str">
        <f ca="1">IFERROR(_xludf.XLOOKUP(B137,PRODUCT_MASTER!C2,PRODUCT_MASTER!C6),"")</f>
        <v/>
      </c>
      <c r="K137" s="3" t="str">
        <f t="shared" ca="1" si="12"/>
        <v/>
      </c>
      <c r="L137" s="3" t="str">
        <f t="shared" ca="1" si="13"/>
        <v/>
      </c>
      <c r="M137" s="4" t="str">
        <f t="shared" ca="1" si="14"/>
        <v/>
      </c>
    </row>
    <row r="138" spans="4:13">
      <c r="D138" s="3"/>
      <c r="E138" s="3"/>
      <c r="F138" s="3"/>
      <c r="G138" s="3"/>
      <c r="H138" s="3"/>
      <c r="J138" s="3" t="str">
        <f ca="1">IFERROR(_xludf.XLOOKUP(B138,PRODUCT_MASTER!C2,PRODUCT_MASTER!C6),"")</f>
        <v/>
      </c>
      <c r="K138" s="3" t="str">
        <f t="shared" ca="1" si="12"/>
        <v/>
      </c>
      <c r="L138" s="3" t="str">
        <f t="shared" ca="1" si="13"/>
        <v/>
      </c>
      <c r="M138" s="4" t="str">
        <f t="shared" ca="1" si="14"/>
        <v/>
      </c>
    </row>
    <row r="139" spans="4:13">
      <c r="D139" s="3"/>
      <c r="E139" s="3"/>
      <c r="F139" s="3"/>
      <c r="G139" s="3"/>
      <c r="H139" s="3"/>
      <c r="J139" s="3" t="str">
        <f ca="1">IFERROR(_xludf.XLOOKUP(B139,PRODUCT_MASTER!C2,PRODUCT_MASTER!C6),"")</f>
        <v/>
      </c>
      <c r="K139" s="3" t="str">
        <f t="shared" ca="1" si="12"/>
        <v/>
      </c>
      <c r="L139" s="3" t="str">
        <f t="shared" ca="1" si="13"/>
        <v/>
      </c>
      <c r="M139" s="4" t="str">
        <f t="shared" ca="1" si="14"/>
        <v/>
      </c>
    </row>
    <row r="140" spans="4:13">
      <c r="D140" s="3"/>
      <c r="E140" s="3"/>
      <c r="F140" s="3"/>
      <c r="G140" s="3"/>
      <c r="H140" s="3"/>
      <c r="J140" s="3" t="str">
        <f ca="1">IFERROR(_xludf.XLOOKUP(B140,PRODUCT_MASTER!C2,PRODUCT_MASTER!C6),"")</f>
        <v/>
      </c>
      <c r="K140" s="3" t="str">
        <f t="shared" ca="1" si="12"/>
        <v/>
      </c>
      <c r="L140" s="3" t="str">
        <f t="shared" ca="1" si="13"/>
        <v/>
      </c>
      <c r="M140" s="4" t="str">
        <f t="shared" ca="1" si="14"/>
        <v/>
      </c>
    </row>
    <row r="141" spans="4:13">
      <c r="D141" s="3"/>
      <c r="E141" s="3"/>
      <c r="F141" s="3"/>
      <c r="G141" s="3"/>
      <c r="H141" s="3"/>
      <c r="J141" s="3" t="str">
        <f ca="1">IFERROR(_xludf.XLOOKUP(B141,PRODUCT_MASTER!C2,PRODUCT_MASTER!C6),"")</f>
        <v/>
      </c>
      <c r="K141" s="3" t="str">
        <f t="shared" ca="1" si="12"/>
        <v/>
      </c>
      <c r="L141" s="3" t="str">
        <f t="shared" ca="1" si="13"/>
        <v/>
      </c>
      <c r="M141" s="4" t="str">
        <f t="shared" ca="1" si="14"/>
        <v/>
      </c>
    </row>
    <row r="142" spans="4:13">
      <c r="D142" s="3"/>
      <c r="E142" s="3"/>
      <c r="F142" s="3"/>
      <c r="G142" s="3"/>
      <c r="H142" s="3"/>
      <c r="J142" s="3" t="str">
        <f ca="1">IFERROR(_xludf.XLOOKUP(B142,PRODUCT_MASTER!C2,PRODUCT_MASTER!C6),"")</f>
        <v/>
      </c>
      <c r="K142" s="3" t="str">
        <f t="shared" ca="1" si="12"/>
        <v/>
      </c>
      <c r="L142" s="3" t="str">
        <f t="shared" ca="1" si="13"/>
        <v/>
      </c>
      <c r="M142" s="4" t="str">
        <f t="shared" ca="1" si="14"/>
        <v/>
      </c>
    </row>
    <row r="143" spans="4:13">
      <c r="D143" s="3"/>
      <c r="E143" s="3"/>
      <c r="F143" s="3"/>
      <c r="G143" s="3"/>
      <c r="H143" s="3"/>
      <c r="J143" s="3" t="str">
        <f ca="1">IFERROR(_xludf.XLOOKUP(B143,PRODUCT_MASTER!C2,PRODUCT_MASTER!C6),"")</f>
        <v/>
      </c>
      <c r="K143" s="3" t="str">
        <f t="shared" ca="1" si="12"/>
        <v/>
      </c>
      <c r="L143" s="3" t="str">
        <f t="shared" ca="1" si="13"/>
        <v/>
      </c>
      <c r="M143" s="4" t="str">
        <f t="shared" ca="1" si="14"/>
        <v/>
      </c>
    </row>
    <row r="144" spans="4:13">
      <c r="D144" s="3"/>
      <c r="E144" s="3"/>
      <c r="F144" s="3"/>
      <c r="G144" s="3"/>
      <c r="H144" s="3"/>
      <c r="J144" s="3" t="str">
        <f ca="1">IFERROR(_xludf.XLOOKUP(B144,PRODUCT_MASTER!C2,PRODUCT_MASTER!C6),"")</f>
        <v/>
      </c>
      <c r="K144" s="3" t="str">
        <f t="shared" ca="1" si="12"/>
        <v/>
      </c>
      <c r="L144" s="3" t="str">
        <f t="shared" ca="1" si="13"/>
        <v/>
      </c>
      <c r="M144" s="4" t="str">
        <f t="shared" ca="1" si="14"/>
        <v/>
      </c>
    </row>
    <row r="145" spans="4:13">
      <c r="D145" s="3"/>
      <c r="E145" s="3"/>
      <c r="F145" s="3"/>
      <c r="G145" s="3"/>
      <c r="H145" s="3"/>
      <c r="J145" s="3" t="str">
        <f ca="1">IFERROR(_xludf.XLOOKUP(B145,PRODUCT_MASTER!C2,PRODUCT_MASTER!C6),"")</f>
        <v/>
      </c>
      <c r="K145" s="3" t="str">
        <f t="shared" ca="1" si="12"/>
        <v/>
      </c>
      <c r="L145" s="3" t="str">
        <f t="shared" ca="1" si="13"/>
        <v/>
      </c>
      <c r="M145" s="4" t="str">
        <f t="shared" ca="1" si="14"/>
        <v/>
      </c>
    </row>
    <row r="146" spans="4:13">
      <c r="D146" s="3"/>
      <c r="E146" s="3"/>
      <c r="F146" s="3"/>
      <c r="G146" s="3"/>
      <c r="H146" s="3"/>
      <c r="J146" s="3" t="str">
        <f ca="1">IFERROR(_xludf.XLOOKUP(B146,PRODUCT_MASTER!C2,PRODUCT_MASTER!C6),"")</f>
        <v/>
      </c>
      <c r="K146" s="3" t="str">
        <f t="shared" ca="1" si="12"/>
        <v/>
      </c>
      <c r="L146" s="3" t="str">
        <f t="shared" ca="1" si="13"/>
        <v/>
      </c>
      <c r="M146" s="4" t="str">
        <f t="shared" ca="1" si="14"/>
        <v/>
      </c>
    </row>
    <row r="147" spans="4:13">
      <c r="D147" s="3"/>
      <c r="E147" s="3"/>
      <c r="F147" s="3"/>
      <c r="G147" s="3"/>
      <c r="H147" s="3"/>
      <c r="J147" s="3" t="str">
        <f ca="1">IFERROR(_xludf.XLOOKUP(B147,PRODUCT_MASTER!C2,PRODUCT_MASTER!C6),"")</f>
        <v/>
      </c>
      <c r="K147" s="3" t="str">
        <f t="shared" ca="1" si="12"/>
        <v/>
      </c>
      <c r="L147" s="3" t="str">
        <f t="shared" ca="1" si="13"/>
        <v/>
      </c>
      <c r="M147" s="4" t="str">
        <f t="shared" ca="1" si="14"/>
        <v/>
      </c>
    </row>
    <row r="148" spans="4:13">
      <c r="D148" s="3"/>
      <c r="E148" s="3"/>
      <c r="F148" s="3"/>
      <c r="G148" s="3"/>
      <c r="H148" s="3"/>
      <c r="J148" s="3" t="str">
        <f ca="1">IFERROR(_xludf.XLOOKUP(B148,PRODUCT_MASTER!C2,PRODUCT_MASTER!C6),"")</f>
        <v/>
      </c>
      <c r="K148" s="3" t="str">
        <f t="shared" ca="1" si="12"/>
        <v/>
      </c>
      <c r="L148" s="3" t="str">
        <f t="shared" ca="1" si="13"/>
        <v/>
      </c>
      <c r="M148" s="4" t="str">
        <f t="shared" ca="1" si="14"/>
        <v/>
      </c>
    </row>
    <row r="149" spans="4:13">
      <c r="D149" s="3"/>
      <c r="E149" s="3"/>
      <c r="F149" s="3"/>
      <c r="G149" s="3"/>
      <c r="H149" s="3"/>
      <c r="J149" s="3" t="str">
        <f ca="1">IFERROR(_xludf.XLOOKUP(B149,PRODUCT_MASTER!C2,PRODUCT_MASTER!C6),"")</f>
        <v/>
      </c>
      <c r="K149" s="3" t="str">
        <f t="shared" ca="1" si="12"/>
        <v/>
      </c>
      <c r="L149" s="3" t="str">
        <f t="shared" ca="1" si="13"/>
        <v/>
      </c>
      <c r="M149" s="4" t="str">
        <f t="shared" ca="1" si="14"/>
        <v/>
      </c>
    </row>
    <row r="150" spans="4:13">
      <c r="D150" s="3"/>
      <c r="E150" s="3"/>
      <c r="F150" s="3"/>
      <c r="G150" s="3"/>
      <c r="H150" s="3"/>
      <c r="J150" s="3" t="str">
        <f ca="1">IFERROR(_xludf.XLOOKUP(B150,PRODUCT_MASTER!C2,PRODUCT_MASTER!C6),"")</f>
        <v/>
      </c>
      <c r="K150" s="3" t="str">
        <f t="shared" ca="1" si="12"/>
        <v/>
      </c>
      <c r="L150" s="3" t="str">
        <f t="shared" ca="1" si="13"/>
        <v/>
      </c>
      <c r="M150" s="4" t="str">
        <f t="shared" ca="1" si="14"/>
        <v/>
      </c>
    </row>
    <row r="151" spans="4:13">
      <c r="D151" s="3"/>
      <c r="E151" s="3"/>
      <c r="F151" s="3"/>
      <c r="G151" s="3"/>
      <c r="H151" s="3"/>
      <c r="J151" s="3" t="str">
        <f ca="1">IFERROR(_xludf.XLOOKUP(B151,PRODUCT_MASTER!C2,PRODUCT_MASTER!C6),"")</f>
        <v/>
      </c>
      <c r="K151" s="3" t="str">
        <f t="shared" ca="1" si="12"/>
        <v/>
      </c>
      <c r="L151" s="3" t="str">
        <f t="shared" ca="1" si="13"/>
        <v/>
      </c>
      <c r="M151" s="4" t="str">
        <f t="shared" ca="1" si="14"/>
        <v/>
      </c>
    </row>
    <row r="152" spans="4:13">
      <c r="D152" s="3"/>
      <c r="E152" s="3"/>
      <c r="F152" s="3"/>
      <c r="G152" s="3"/>
      <c r="H152" s="3"/>
      <c r="J152" s="3" t="str">
        <f ca="1">IFERROR(_xludf.XLOOKUP(B152,PRODUCT_MASTER!C2,PRODUCT_MASTER!C6),"")</f>
        <v/>
      </c>
      <c r="K152" s="3" t="str">
        <f t="shared" ca="1" si="12"/>
        <v/>
      </c>
      <c r="L152" s="3" t="str">
        <f t="shared" ca="1" si="13"/>
        <v/>
      </c>
      <c r="M152" s="4" t="str">
        <f t="shared" ca="1" si="14"/>
        <v/>
      </c>
    </row>
    <row r="153" spans="4:13">
      <c r="D153" s="3"/>
      <c r="E153" s="3"/>
      <c r="F153" s="3"/>
      <c r="G153" s="3"/>
      <c r="H153" s="3"/>
      <c r="J153" s="3" t="str">
        <f ca="1">IFERROR(_xludf.XLOOKUP(B153,PRODUCT_MASTER!C2,PRODUCT_MASTER!C6),"")</f>
        <v/>
      </c>
      <c r="K153" s="3" t="str">
        <f t="shared" ca="1" si="12"/>
        <v/>
      </c>
      <c r="L153" s="3" t="str">
        <f t="shared" ca="1" si="13"/>
        <v/>
      </c>
      <c r="M153" s="4" t="str">
        <f t="shared" ca="1" si="14"/>
        <v/>
      </c>
    </row>
    <row r="154" spans="4:13">
      <c r="D154" s="3"/>
      <c r="E154" s="3"/>
      <c r="F154" s="3"/>
      <c r="G154" s="3"/>
      <c r="H154" s="3"/>
      <c r="J154" s="3" t="str">
        <f ca="1">IFERROR(_xludf.XLOOKUP(B154,PRODUCT_MASTER!C2,PRODUCT_MASTER!C6),"")</f>
        <v/>
      </c>
      <c r="K154" s="3" t="str">
        <f t="shared" ca="1" si="12"/>
        <v/>
      </c>
      <c r="L154" s="3" t="str">
        <f t="shared" ca="1" si="13"/>
        <v/>
      </c>
      <c r="M154" s="4" t="str">
        <f t="shared" ca="1" si="14"/>
        <v/>
      </c>
    </row>
    <row r="155" spans="4:13">
      <c r="D155" s="3"/>
      <c r="E155" s="3"/>
      <c r="F155" s="3"/>
      <c r="G155" s="3"/>
      <c r="H155" s="3"/>
      <c r="J155" s="3" t="str">
        <f ca="1">IFERROR(_xludf.XLOOKUP(B155,PRODUCT_MASTER!C2,PRODUCT_MASTER!C6),"")</f>
        <v/>
      </c>
      <c r="K155" s="3" t="str">
        <f t="shared" ca="1" si="12"/>
        <v/>
      </c>
      <c r="L155" s="3" t="str">
        <f t="shared" ca="1" si="13"/>
        <v/>
      </c>
      <c r="M155" s="4" t="str">
        <f t="shared" ca="1" si="14"/>
        <v/>
      </c>
    </row>
    <row r="156" spans="4:13">
      <c r="D156" s="3"/>
      <c r="E156" s="3"/>
      <c r="F156" s="3"/>
      <c r="G156" s="3"/>
      <c r="H156" s="3"/>
      <c r="J156" s="3" t="str">
        <f ca="1">IFERROR(_xludf.XLOOKUP(B156,PRODUCT_MASTER!C2,PRODUCT_MASTER!C6),"")</f>
        <v/>
      </c>
      <c r="K156" s="3" t="str">
        <f t="shared" ca="1" si="12"/>
        <v/>
      </c>
      <c r="L156" s="3" t="str">
        <f t="shared" ca="1" si="13"/>
        <v/>
      </c>
      <c r="M156" s="4" t="str">
        <f t="shared" ca="1" si="14"/>
        <v/>
      </c>
    </row>
    <row r="157" spans="4:13">
      <c r="D157" s="3"/>
      <c r="E157" s="3"/>
      <c r="F157" s="3"/>
      <c r="G157" s="3"/>
      <c r="H157" s="3"/>
      <c r="J157" s="3" t="str">
        <f ca="1">IFERROR(_xludf.XLOOKUP(B157,PRODUCT_MASTER!C2,PRODUCT_MASTER!C6),"")</f>
        <v/>
      </c>
      <c r="K157" s="3" t="str">
        <f t="shared" ca="1" si="12"/>
        <v/>
      </c>
      <c r="L157" s="3" t="str">
        <f t="shared" ca="1" si="13"/>
        <v/>
      </c>
      <c r="M157" s="4" t="str">
        <f t="shared" ca="1" si="14"/>
        <v/>
      </c>
    </row>
    <row r="158" spans="4:13">
      <c r="D158" s="3"/>
      <c r="E158" s="3"/>
      <c r="F158" s="3"/>
      <c r="G158" s="3"/>
      <c r="H158" s="3"/>
      <c r="J158" s="3" t="str">
        <f ca="1">IFERROR(_xludf.XLOOKUP(B158,PRODUCT_MASTER!C2,PRODUCT_MASTER!C6),"")</f>
        <v/>
      </c>
      <c r="K158" s="3" t="str">
        <f t="shared" ca="1" si="12"/>
        <v/>
      </c>
      <c r="L158" s="3" t="str">
        <f t="shared" ca="1" si="13"/>
        <v/>
      </c>
      <c r="M158" s="4" t="str">
        <f t="shared" ca="1" si="14"/>
        <v/>
      </c>
    </row>
    <row r="159" spans="4:13">
      <c r="D159" s="3"/>
      <c r="E159" s="3"/>
      <c r="F159" s="3"/>
      <c r="G159" s="3"/>
      <c r="H159" s="3"/>
      <c r="J159" s="3" t="str">
        <f ca="1">IFERROR(_xludf.XLOOKUP(B159,PRODUCT_MASTER!C2,PRODUCT_MASTER!C6),"")</f>
        <v/>
      </c>
      <c r="K159" s="3" t="str">
        <f t="shared" ca="1" si="12"/>
        <v/>
      </c>
      <c r="L159" s="3" t="str">
        <f t="shared" ca="1" si="13"/>
        <v/>
      </c>
      <c r="M159" s="4" t="str">
        <f t="shared" ca="1" si="14"/>
        <v/>
      </c>
    </row>
    <row r="160" spans="4:13">
      <c r="D160" s="3"/>
      <c r="E160" s="3"/>
      <c r="F160" s="3"/>
      <c r="G160" s="3"/>
      <c r="H160" s="3"/>
      <c r="J160" s="3" t="str">
        <f ca="1">IFERROR(_xludf.XLOOKUP(B160,PRODUCT_MASTER!C2,PRODUCT_MASTER!C6),"")</f>
        <v/>
      </c>
      <c r="K160" s="3" t="str">
        <f t="shared" ca="1" si="12"/>
        <v/>
      </c>
      <c r="L160" s="3" t="str">
        <f t="shared" ca="1" si="13"/>
        <v/>
      </c>
      <c r="M160" s="4" t="str">
        <f t="shared" ca="1" si="14"/>
        <v/>
      </c>
    </row>
    <row r="161" spans="4:13">
      <c r="D161" s="3"/>
      <c r="E161" s="3"/>
      <c r="F161" s="3"/>
      <c r="G161" s="3"/>
      <c r="H161" s="3"/>
      <c r="J161" s="3" t="str">
        <f ca="1">IFERROR(_xludf.XLOOKUP(B161,PRODUCT_MASTER!C2,PRODUCT_MASTER!C6),"")</f>
        <v/>
      </c>
      <c r="K161" s="3" t="str">
        <f t="shared" ca="1" si="12"/>
        <v/>
      </c>
      <c r="L161" s="3" t="str">
        <f t="shared" ca="1" si="13"/>
        <v/>
      </c>
      <c r="M161" s="4" t="str">
        <f t="shared" ca="1" si="14"/>
        <v/>
      </c>
    </row>
    <row r="162" spans="4:13">
      <c r="D162" s="3"/>
      <c r="E162" s="3"/>
      <c r="F162" s="3"/>
      <c r="G162" s="3"/>
      <c r="H162" s="3"/>
      <c r="J162" s="3" t="str">
        <f ca="1">IFERROR(_xludf.XLOOKUP(B162,PRODUCT_MASTER!C2,PRODUCT_MASTER!C6),"")</f>
        <v/>
      </c>
      <c r="K162" s="3" t="str">
        <f t="shared" ref="K162:K193" ca="1" si="15">IFERROR(D162*J162,"")</f>
        <v/>
      </c>
      <c r="L162" s="3" t="str">
        <f t="shared" ref="L162:L193" ca="1" si="16">IFERROR(F162-K162,"")</f>
        <v/>
      </c>
      <c r="M162" s="4" t="str">
        <f t="shared" ref="M162:M193" ca="1" si="17">IFERROR(L162/F162,"")</f>
        <v/>
      </c>
    </row>
    <row r="163" spans="4:13">
      <c r="D163" s="3"/>
      <c r="E163" s="3"/>
      <c r="F163" s="3"/>
      <c r="G163" s="3"/>
      <c r="H163" s="3"/>
      <c r="J163" s="3" t="str">
        <f ca="1">IFERROR(_xludf.XLOOKUP(B163,PRODUCT_MASTER!C2,PRODUCT_MASTER!C6),"")</f>
        <v/>
      </c>
      <c r="K163" s="3" t="str">
        <f t="shared" ca="1" si="15"/>
        <v/>
      </c>
      <c r="L163" s="3" t="str">
        <f t="shared" ca="1" si="16"/>
        <v/>
      </c>
      <c r="M163" s="4" t="str">
        <f t="shared" ca="1" si="17"/>
        <v/>
      </c>
    </row>
    <row r="164" spans="4:13">
      <c r="D164" s="3"/>
      <c r="E164" s="3"/>
      <c r="F164" s="3"/>
      <c r="G164" s="3"/>
      <c r="H164" s="3"/>
      <c r="J164" s="3" t="str">
        <f ca="1">IFERROR(_xludf.XLOOKUP(B164,PRODUCT_MASTER!C2,PRODUCT_MASTER!C6),"")</f>
        <v/>
      </c>
      <c r="K164" s="3" t="str">
        <f t="shared" ca="1" si="15"/>
        <v/>
      </c>
      <c r="L164" s="3" t="str">
        <f t="shared" ca="1" si="16"/>
        <v/>
      </c>
      <c r="M164" s="4" t="str">
        <f t="shared" ca="1" si="17"/>
        <v/>
      </c>
    </row>
    <row r="165" spans="4:13">
      <c r="D165" s="3"/>
      <c r="E165" s="3"/>
      <c r="F165" s="3"/>
      <c r="G165" s="3"/>
      <c r="H165" s="3"/>
      <c r="J165" s="3" t="str">
        <f ca="1">IFERROR(_xludf.XLOOKUP(B165,PRODUCT_MASTER!C2,PRODUCT_MASTER!C6),"")</f>
        <v/>
      </c>
      <c r="K165" s="3" t="str">
        <f t="shared" ca="1" si="15"/>
        <v/>
      </c>
      <c r="L165" s="3" t="str">
        <f t="shared" ca="1" si="16"/>
        <v/>
      </c>
      <c r="M165" s="4" t="str">
        <f t="shared" ca="1" si="17"/>
        <v/>
      </c>
    </row>
    <row r="166" spans="4:13">
      <c r="D166" s="3"/>
      <c r="E166" s="3"/>
      <c r="F166" s="3"/>
      <c r="G166" s="3"/>
      <c r="H166" s="3"/>
      <c r="J166" s="3" t="str">
        <f ca="1">IFERROR(_xludf.XLOOKUP(B166,PRODUCT_MASTER!C2,PRODUCT_MASTER!C6),"")</f>
        <v/>
      </c>
      <c r="K166" s="3" t="str">
        <f t="shared" ca="1" si="15"/>
        <v/>
      </c>
      <c r="L166" s="3" t="str">
        <f t="shared" ca="1" si="16"/>
        <v/>
      </c>
      <c r="M166" s="4" t="str">
        <f t="shared" ca="1" si="17"/>
        <v/>
      </c>
    </row>
    <row r="167" spans="4:13">
      <c r="D167" s="3"/>
      <c r="E167" s="3"/>
      <c r="F167" s="3"/>
      <c r="G167" s="3"/>
      <c r="H167" s="3"/>
      <c r="J167" s="3" t="str">
        <f ca="1">IFERROR(_xludf.XLOOKUP(B167,PRODUCT_MASTER!C2,PRODUCT_MASTER!C6),"")</f>
        <v/>
      </c>
      <c r="K167" s="3" t="str">
        <f t="shared" ca="1" si="15"/>
        <v/>
      </c>
      <c r="L167" s="3" t="str">
        <f t="shared" ca="1" si="16"/>
        <v/>
      </c>
      <c r="M167" s="4" t="str">
        <f t="shared" ca="1" si="17"/>
        <v/>
      </c>
    </row>
    <row r="168" spans="4:13">
      <c r="D168" s="3"/>
      <c r="E168" s="3"/>
      <c r="F168" s="3"/>
      <c r="G168" s="3"/>
      <c r="H168" s="3"/>
      <c r="J168" s="3" t="str">
        <f ca="1">IFERROR(_xludf.XLOOKUP(B168,PRODUCT_MASTER!C2,PRODUCT_MASTER!C6),"")</f>
        <v/>
      </c>
      <c r="K168" s="3" t="str">
        <f t="shared" ca="1" si="15"/>
        <v/>
      </c>
      <c r="L168" s="3" t="str">
        <f t="shared" ca="1" si="16"/>
        <v/>
      </c>
      <c r="M168" s="4" t="str">
        <f t="shared" ca="1" si="17"/>
        <v/>
      </c>
    </row>
    <row r="169" spans="4:13">
      <c r="D169" s="3"/>
      <c r="E169" s="3"/>
      <c r="F169" s="3"/>
      <c r="G169" s="3"/>
      <c r="H169" s="3"/>
      <c r="J169" s="3" t="str">
        <f ca="1">IFERROR(_xludf.XLOOKUP(B169,PRODUCT_MASTER!C2,PRODUCT_MASTER!C6),"")</f>
        <v/>
      </c>
      <c r="K169" s="3" t="str">
        <f t="shared" ca="1" si="15"/>
        <v/>
      </c>
      <c r="L169" s="3" t="str">
        <f t="shared" ca="1" si="16"/>
        <v/>
      </c>
      <c r="M169" s="4" t="str">
        <f t="shared" ca="1" si="17"/>
        <v/>
      </c>
    </row>
    <row r="170" spans="4:13">
      <c r="D170" s="3"/>
      <c r="E170" s="3"/>
      <c r="F170" s="3"/>
      <c r="G170" s="3"/>
      <c r="H170" s="3"/>
      <c r="J170" s="3" t="str">
        <f ca="1">IFERROR(_xludf.XLOOKUP(B170,PRODUCT_MASTER!C2,PRODUCT_MASTER!C6),"")</f>
        <v/>
      </c>
      <c r="K170" s="3" t="str">
        <f t="shared" ca="1" si="15"/>
        <v/>
      </c>
      <c r="L170" s="3" t="str">
        <f t="shared" ca="1" si="16"/>
        <v/>
      </c>
      <c r="M170" s="4" t="str">
        <f t="shared" ca="1" si="17"/>
        <v/>
      </c>
    </row>
    <row r="171" spans="4:13">
      <c r="D171" s="3"/>
      <c r="E171" s="3"/>
      <c r="F171" s="3"/>
      <c r="G171" s="3"/>
      <c r="H171" s="3"/>
      <c r="J171" s="3" t="str">
        <f ca="1">IFERROR(_xludf.XLOOKUP(B171,PRODUCT_MASTER!C2,PRODUCT_MASTER!C6),"")</f>
        <v/>
      </c>
      <c r="K171" s="3" t="str">
        <f t="shared" ca="1" si="15"/>
        <v/>
      </c>
      <c r="L171" s="3" t="str">
        <f t="shared" ca="1" si="16"/>
        <v/>
      </c>
      <c r="M171" s="4" t="str">
        <f t="shared" ca="1" si="17"/>
        <v/>
      </c>
    </row>
    <row r="172" spans="4:13">
      <c r="D172" s="3"/>
      <c r="E172" s="3"/>
      <c r="F172" s="3"/>
      <c r="G172" s="3"/>
      <c r="H172" s="3"/>
      <c r="J172" s="3" t="str">
        <f ca="1">IFERROR(_xludf.XLOOKUP(B172,PRODUCT_MASTER!C2,PRODUCT_MASTER!C6),"")</f>
        <v/>
      </c>
      <c r="K172" s="3" t="str">
        <f t="shared" ca="1" si="15"/>
        <v/>
      </c>
      <c r="L172" s="3" t="str">
        <f t="shared" ca="1" si="16"/>
        <v/>
      </c>
      <c r="M172" s="4" t="str">
        <f t="shared" ca="1" si="17"/>
        <v/>
      </c>
    </row>
    <row r="173" spans="4:13">
      <c r="D173" s="3"/>
      <c r="E173" s="3"/>
      <c r="F173" s="3"/>
      <c r="G173" s="3"/>
      <c r="H173" s="3"/>
      <c r="J173" s="3" t="str">
        <f ca="1">IFERROR(_xludf.XLOOKUP(B173,PRODUCT_MASTER!C2,PRODUCT_MASTER!C6),"")</f>
        <v/>
      </c>
      <c r="K173" s="3" t="str">
        <f t="shared" ca="1" si="15"/>
        <v/>
      </c>
      <c r="L173" s="3" t="str">
        <f t="shared" ca="1" si="16"/>
        <v/>
      </c>
      <c r="M173" s="4" t="str">
        <f t="shared" ca="1" si="17"/>
        <v/>
      </c>
    </row>
    <row r="174" spans="4:13">
      <c r="D174" s="3"/>
      <c r="E174" s="3"/>
      <c r="F174" s="3"/>
      <c r="G174" s="3"/>
      <c r="H174" s="3"/>
      <c r="J174" s="3" t="str">
        <f ca="1">IFERROR(_xludf.XLOOKUP(B174,PRODUCT_MASTER!C2,PRODUCT_MASTER!C6),"")</f>
        <v/>
      </c>
      <c r="K174" s="3" t="str">
        <f t="shared" ca="1" si="15"/>
        <v/>
      </c>
      <c r="L174" s="3" t="str">
        <f t="shared" ca="1" si="16"/>
        <v/>
      </c>
      <c r="M174" s="4" t="str">
        <f t="shared" ca="1" si="17"/>
        <v/>
      </c>
    </row>
    <row r="175" spans="4:13">
      <c r="D175" s="3"/>
      <c r="E175" s="3"/>
      <c r="F175" s="3"/>
      <c r="G175" s="3"/>
      <c r="H175" s="3"/>
      <c r="J175" s="3" t="str">
        <f ca="1">IFERROR(_xludf.XLOOKUP(B175,PRODUCT_MASTER!C2,PRODUCT_MASTER!C6),"")</f>
        <v/>
      </c>
      <c r="K175" s="3" t="str">
        <f t="shared" ca="1" si="15"/>
        <v/>
      </c>
      <c r="L175" s="3" t="str">
        <f t="shared" ca="1" si="16"/>
        <v/>
      </c>
      <c r="M175" s="4" t="str">
        <f t="shared" ca="1" si="17"/>
        <v/>
      </c>
    </row>
    <row r="176" spans="4:13">
      <c r="D176" s="3"/>
      <c r="E176" s="3"/>
      <c r="F176" s="3"/>
      <c r="G176" s="3"/>
      <c r="H176" s="3"/>
      <c r="J176" s="3" t="str">
        <f ca="1">IFERROR(_xludf.XLOOKUP(B176,PRODUCT_MASTER!C2,PRODUCT_MASTER!C6),"")</f>
        <v/>
      </c>
      <c r="K176" s="3" t="str">
        <f t="shared" ca="1" si="15"/>
        <v/>
      </c>
      <c r="L176" s="3" t="str">
        <f t="shared" ca="1" si="16"/>
        <v/>
      </c>
      <c r="M176" s="4" t="str">
        <f t="shared" ca="1" si="17"/>
        <v/>
      </c>
    </row>
    <row r="177" spans="4:13">
      <c r="D177" s="3"/>
      <c r="E177" s="3"/>
      <c r="F177" s="3"/>
      <c r="G177" s="3"/>
      <c r="H177" s="3"/>
      <c r="J177" s="3" t="str">
        <f ca="1">IFERROR(_xludf.XLOOKUP(B177,PRODUCT_MASTER!C2,PRODUCT_MASTER!C6),"")</f>
        <v/>
      </c>
      <c r="K177" s="3" t="str">
        <f t="shared" ca="1" si="15"/>
        <v/>
      </c>
      <c r="L177" s="3" t="str">
        <f t="shared" ca="1" si="16"/>
        <v/>
      </c>
      <c r="M177" s="4" t="str">
        <f t="shared" ca="1" si="17"/>
        <v/>
      </c>
    </row>
    <row r="178" spans="4:13">
      <c r="D178" s="3"/>
      <c r="E178" s="3"/>
      <c r="F178" s="3"/>
      <c r="G178" s="3"/>
      <c r="H178" s="3"/>
      <c r="J178" s="3" t="str">
        <f ca="1">IFERROR(_xludf.XLOOKUP(B178,PRODUCT_MASTER!C2,PRODUCT_MASTER!C6),"")</f>
        <v/>
      </c>
      <c r="K178" s="3" t="str">
        <f t="shared" ca="1" si="15"/>
        <v/>
      </c>
      <c r="L178" s="3" t="str">
        <f t="shared" ca="1" si="16"/>
        <v/>
      </c>
      <c r="M178" s="4" t="str">
        <f t="shared" ca="1" si="17"/>
        <v/>
      </c>
    </row>
    <row r="179" spans="4:13">
      <c r="D179" s="3"/>
      <c r="E179" s="3"/>
      <c r="F179" s="3"/>
      <c r="G179" s="3"/>
      <c r="H179" s="3"/>
      <c r="J179" s="3" t="str">
        <f ca="1">IFERROR(_xludf.XLOOKUP(B179,PRODUCT_MASTER!C2,PRODUCT_MASTER!C6),"")</f>
        <v/>
      </c>
      <c r="K179" s="3" t="str">
        <f t="shared" ca="1" si="15"/>
        <v/>
      </c>
      <c r="L179" s="3" t="str">
        <f t="shared" ca="1" si="16"/>
        <v/>
      </c>
      <c r="M179" s="4" t="str">
        <f t="shared" ca="1" si="17"/>
        <v/>
      </c>
    </row>
    <row r="180" spans="4:13">
      <c r="D180" s="3"/>
      <c r="E180" s="3"/>
      <c r="F180" s="3"/>
      <c r="G180" s="3"/>
      <c r="H180" s="3"/>
      <c r="J180" s="3" t="str">
        <f ca="1">IFERROR(_xludf.XLOOKUP(B180,PRODUCT_MASTER!C2,PRODUCT_MASTER!C6),"")</f>
        <v/>
      </c>
      <c r="K180" s="3" t="str">
        <f t="shared" ca="1" si="15"/>
        <v/>
      </c>
      <c r="L180" s="3" t="str">
        <f t="shared" ca="1" si="16"/>
        <v/>
      </c>
      <c r="M180" s="4" t="str">
        <f t="shared" ca="1" si="17"/>
        <v/>
      </c>
    </row>
    <row r="181" spans="4:13">
      <c r="D181" s="3"/>
      <c r="E181" s="3"/>
      <c r="F181" s="3"/>
      <c r="G181" s="3"/>
      <c r="H181" s="3"/>
      <c r="J181" s="3" t="str">
        <f ca="1">IFERROR(_xludf.XLOOKUP(B181,PRODUCT_MASTER!C2,PRODUCT_MASTER!C6),"")</f>
        <v/>
      </c>
      <c r="K181" s="3" t="str">
        <f t="shared" ca="1" si="15"/>
        <v/>
      </c>
      <c r="L181" s="3" t="str">
        <f t="shared" ca="1" si="16"/>
        <v/>
      </c>
      <c r="M181" s="4" t="str">
        <f t="shared" ca="1" si="17"/>
        <v/>
      </c>
    </row>
    <row r="182" spans="4:13">
      <c r="D182" s="3"/>
      <c r="E182" s="3"/>
      <c r="F182" s="3"/>
      <c r="G182" s="3"/>
      <c r="H182" s="3"/>
      <c r="J182" s="3" t="str">
        <f ca="1">IFERROR(_xludf.XLOOKUP(B182,PRODUCT_MASTER!C2,PRODUCT_MASTER!C6),"")</f>
        <v/>
      </c>
      <c r="K182" s="3" t="str">
        <f t="shared" ca="1" si="15"/>
        <v/>
      </c>
      <c r="L182" s="3" t="str">
        <f t="shared" ca="1" si="16"/>
        <v/>
      </c>
      <c r="M182" s="4" t="str">
        <f t="shared" ca="1" si="17"/>
        <v/>
      </c>
    </row>
    <row r="183" spans="4:13">
      <c r="D183" s="3"/>
      <c r="E183" s="3"/>
      <c r="F183" s="3"/>
      <c r="G183" s="3"/>
      <c r="H183" s="3"/>
      <c r="J183" s="3" t="str">
        <f ca="1">IFERROR(_xludf.XLOOKUP(B183,PRODUCT_MASTER!C2,PRODUCT_MASTER!C6),"")</f>
        <v/>
      </c>
      <c r="K183" s="3" t="str">
        <f t="shared" ca="1" si="15"/>
        <v/>
      </c>
      <c r="L183" s="3" t="str">
        <f t="shared" ca="1" si="16"/>
        <v/>
      </c>
      <c r="M183" s="4" t="str">
        <f t="shared" ca="1" si="17"/>
        <v/>
      </c>
    </row>
    <row r="184" spans="4:13">
      <c r="D184" s="3"/>
      <c r="E184" s="3"/>
      <c r="F184" s="3"/>
      <c r="G184" s="3"/>
      <c r="H184" s="3"/>
      <c r="J184" s="3" t="str">
        <f ca="1">IFERROR(_xludf.XLOOKUP(B184,PRODUCT_MASTER!C2,PRODUCT_MASTER!C6),"")</f>
        <v/>
      </c>
      <c r="K184" s="3" t="str">
        <f t="shared" ca="1" si="15"/>
        <v/>
      </c>
      <c r="L184" s="3" t="str">
        <f t="shared" ca="1" si="16"/>
        <v/>
      </c>
      <c r="M184" s="4" t="str">
        <f t="shared" ca="1" si="17"/>
        <v/>
      </c>
    </row>
    <row r="185" spans="4:13">
      <c r="D185" s="3"/>
      <c r="E185" s="3"/>
      <c r="F185" s="3"/>
      <c r="G185" s="3"/>
      <c r="H185" s="3"/>
      <c r="J185" s="3" t="str">
        <f ca="1">IFERROR(_xludf.XLOOKUP(B185,PRODUCT_MASTER!C2,PRODUCT_MASTER!C6),"")</f>
        <v/>
      </c>
      <c r="K185" s="3" t="str">
        <f t="shared" ca="1" si="15"/>
        <v/>
      </c>
      <c r="L185" s="3" t="str">
        <f t="shared" ca="1" si="16"/>
        <v/>
      </c>
      <c r="M185" s="4" t="str">
        <f t="shared" ca="1" si="17"/>
        <v/>
      </c>
    </row>
    <row r="186" spans="4:13">
      <c r="D186" s="3"/>
      <c r="E186" s="3"/>
      <c r="F186" s="3"/>
      <c r="G186" s="3"/>
      <c r="H186" s="3"/>
      <c r="J186" s="3" t="str">
        <f ca="1">IFERROR(_xludf.XLOOKUP(B186,PRODUCT_MASTER!C2,PRODUCT_MASTER!C6),"")</f>
        <v/>
      </c>
      <c r="K186" s="3" t="str">
        <f t="shared" ca="1" si="15"/>
        <v/>
      </c>
      <c r="L186" s="3" t="str">
        <f t="shared" ca="1" si="16"/>
        <v/>
      </c>
      <c r="M186" s="4" t="str">
        <f t="shared" ca="1" si="17"/>
        <v/>
      </c>
    </row>
    <row r="187" spans="4:13">
      <c r="D187" s="3"/>
      <c r="E187" s="3"/>
      <c r="F187" s="3"/>
      <c r="G187" s="3"/>
      <c r="H187" s="3"/>
      <c r="J187" s="3" t="str">
        <f ca="1">IFERROR(_xludf.XLOOKUP(B187,PRODUCT_MASTER!C2,PRODUCT_MASTER!C6),"")</f>
        <v/>
      </c>
      <c r="K187" s="3" t="str">
        <f t="shared" ca="1" si="15"/>
        <v/>
      </c>
      <c r="L187" s="3" t="str">
        <f t="shared" ca="1" si="16"/>
        <v/>
      </c>
      <c r="M187" s="4" t="str">
        <f t="shared" ca="1" si="17"/>
        <v/>
      </c>
    </row>
    <row r="188" spans="4:13">
      <c r="D188" s="3"/>
      <c r="E188" s="3"/>
      <c r="F188" s="3"/>
      <c r="G188" s="3"/>
      <c r="H188" s="3"/>
      <c r="J188" s="3" t="str">
        <f ca="1">IFERROR(_xludf.XLOOKUP(B188,PRODUCT_MASTER!C2,PRODUCT_MASTER!C6),"")</f>
        <v/>
      </c>
      <c r="K188" s="3" t="str">
        <f t="shared" ca="1" si="15"/>
        <v/>
      </c>
      <c r="L188" s="3" t="str">
        <f t="shared" ca="1" si="16"/>
        <v/>
      </c>
      <c r="M188" s="4" t="str">
        <f t="shared" ca="1" si="17"/>
        <v/>
      </c>
    </row>
    <row r="189" spans="4:13">
      <c r="D189" s="3"/>
      <c r="E189" s="3"/>
      <c r="F189" s="3"/>
      <c r="G189" s="3"/>
      <c r="H189" s="3"/>
      <c r="J189" s="3" t="str">
        <f ca="1">IFERROR(_xludf.XLOOKUP(B189,PRODUCT_MASTER!C2,PRODUCT_MASTER!C6),"")</f>
        <v/>
      </c>
      <c r="K189" s="3" t="str">
        <f t="shared" ca="1" si="15"/>
        <v/>
      </c>
      <c r="L189" s="3" t="str">
        <f t="shared" ca="1" si="16"/>
        <v/>
      </c>
      <c r="M189" s="4" t="str">
        <f t="shared" ca="1" si="17"/>
        <v/>
      </c>
    </row>
    <row r="190" spans="4:13">
      <c r="D190" s="3"/>
      <c r="E190" s="3"/>
      <c r="F190" s="3"/>
      <c r="G190" s="3"/>
      <c r="H190" s="3"/>
      <c r="J190" s="3" t="str">
        <f ca="1">IFERROR(_xludf.XLOOKUP(B190,PRODUCT_MASTER!C2,PRODUCT_MASTER!C6),"")</f>
        <v/>
      </c>
      <c r="K190" s="3" t="str">
        <f t="shared" ca="1" si="15"/>
        <v/>
      </c>
      <c r="L190" s="3" t="str">
        <f t="shared" ca="1" si="16"/>
        <v/>
      </c>
      <c r="M190" s="4" t="str">
        <f t="shared" ca="1" si="17"/>
        <v/>
      </c>
    </row>
    <row r="191" spans="4:13">
      <c r="D191" s="3"/>
      <c r="E191" s="3"/>
      <c r="F191" s="3"/>
      <c r="G191" s="3"/>
      <c r="H191" s="3"/>
      <c r="J191" s="3" t="str">
        <f ca="1">IFERROR(_xludf.XLOOKUP(B191,PRODUCT_MASTER!C2,PRODUCT_MASTER!C6),"")</f>
        <v/>
      </c>
      <c r="K191" s="3" t="str">
        <f t="shared" ca="1" si="15"/>
        <v/>
      </c>
      <c r="L191" s="3" t="str">
        <f t="shared" ca="1" si="16"/>
        <v/>
      </c>
      <c r="M191" s="4" t="str">
        <f t="shared" ca="1" si="17"/>
        <v/>
      </c>
    </row>
    <row r="192" spans="4:13">
      <c r="D192" s="3"/>
      <c r="E192" s="3"/>
      <c r="F192" s="3"/>
      <c r="G192" s="3"/>
      <c r="H192" s="3"/>
      <c r="J192" s="3" t="str">
        <f ca="1">IFERROR(_xludf.XLOOKUP(B192,PRODUCT_MASTER!C2,PRODUCT_MASTER!C6),"")</f>
        <v/>
      </c>
      <c r="K192" s="3" t="str">
        <f t="shared" ca="1" si="15"/>
        <v/>
      </c>
      <c r="L192" s="3" t="str">
        <f t="shared" ca="1" si="16"/>
        <v/>
      </c>
      <c r="M192" s="4" t="str">
        <f t="shared" ca="1" si="17"/>
        <v/>
      </c>
    </row>
    <row r="193" spans="4:13">
      <c r="D193" s="3"/>
      <c r="E193" s="3"/>
      <c r="F193" s="3"/>
      <c r="G193" s="3"/>
      <c r="H193" s="3"/>
      <c r="J193" s="3" t="str">
        <f ca="1">IFERROR(_xludf.XLOOKUP(B193,PRODUCT_MASTER!C2,PRODUCT_MASTER!C6),"")</f>
        <v/>
      </c>
      <c r="K193" s="3" t="str">
        <f t="shared" ca="1" si="15"/>
        <v/>
      </c>
      <c r="L193" s="3" t="str">
        <f t="shared" ca="1" si="16"/>
        <v/>
      </c>
      <c r="M193" s="4" t="str">
        <f t="shared" ca="1" si="17"/>
        <v/>
      </c>
    </row>
    <row r="194" spans="4:13">
      <c r="D194" s="3"/>
      <c r="E194" s="3"/>
      <c r="F194" s="3"/>
      <c r="G194" s="3"/>
      <c r="H194" s="3"/>
      <c r="J194" s="3" t="str">
        <f ca="1">IFERROR(_xludf.XLOOKUP(B194,PRODUCT_MASTER!C2,PRODUCT_MASTER!C6),"")</f>
        <v/>
      </c>
      <c r="K194" s="3" t="str">
        <f t="shared" ref="K194:K200" ca="1" si="18">IFERROR(D194*J194,"")</f>
        <v/>
      </c>
      <c r="L194" s="3" t="str">
        <f t="shared" ref="L194:L200" ca="1" si="19">IFERROR(F194-K194,"")</f>
        <v/>
      </c>
      <c r="M194" s="4" t="str">
        <f t="shared" ref="M194:M200" ca="1" si="20">IFERROR(L194/F194,"")</f>
        <v/>
      </c>
    </row>
    <row r="195" spans="4:13">
      <c r="D195" s="3"/>
      <c r="E195" s="3"/>
      <c r="F195" s="3"/>
      <c r="G195" s="3"/>
      <c r="H195" s="3"/>
      <c r="J195" s="3" t="str">
        <f ca="1">IFERROR(_xludf.XLOOKUP(B195,PRODUCT_MASTER!C2,PRODUCT_MASTER!C6),"")</f>
        <v/>
      </c>
      <c r="K195" s="3" t="str">
        <f t="shared" ca="1" si="18"/>
        <v/>
      </c>
      <c r="L195" s="3" t="str">
        <f t="shared" ca="1" si="19"/>
        <v/>
      </c>
      <c r="M195" s="4" t="str">
        <f t="shared" ca="1" si="20"/>
        <v/>
      </c>
    </row>
    <row r="196" spans="4:13">
      <c r="D196" s="3"/>
      <c r="E196" s="3"/>
      <c r="F196" s="3"/>
      <c r="G196" s="3"/>
      <c r="H196" s="3"/>
      <c r="J196" s="3" t="str">
        <f ca="1">IFERROR(_xludf.XLOOKUP(B196,PRODUCT_MASTER!C2,PRODUCT_MASTER!C6),"")</f>
        <v/>
      </c>
      <c r="K196" s="3" t="str">
        <f t="shared" ca="1" si="18"/>
        <v/>
      </c>
      <c r="L196" s="3" t="str">
        <f t="shared" ca="1" si="19"/>
        <v/>
      </c>
      <c r="M196" s="4" t="str">
        <f t="shared" ca="1" si="20"/>
        <v/>
      </c>
    </row>
    <row r="197" spans="4:13">
      <c r="D197" s="3"/>
      <c r="E197" s="3"/>
      <c r="F197" s="3"/>
      <c r="G197" s="3"/>
      <c r="H197" s="3"/>
      <c r="J197" s="3" t="str">
        <f ca="1">IFERROR(_xludf.XLOOKUP(B197,PRODUCT_MASTER!C2,PRODUCT_MASTER!C6),"")</f>
        <v/>
      </c>
      <c r="K197" s="3" t="str">
        <f t="shared" ca="1" si="18"/>
        <v/>
      </c>
      <c r="L197" s="3" t="str">
        <f t="shared" ca="1" si="19"/>
        <v/>
      </c>
      <c r="M197" s="4" t="str">
        <f t="shared" ca="1" si="20"/>
        <v/>
      </c>
    </row>
    <row r="198" spans="4:13">
      <c r="D198" s="3"/>
      <c r="E198" s="3"/>
      <c r="F198" s="3"/>
      <c r="G198" s="3"/>
      <c r="H198" s="3"/>
      <c r="J198" s="3" t="str">
        <f ca="1">IFERROR(_xludf.XLOOKUP(B198,PRODUCT_MASTER!C2,PRODUCT_MASTER!C6),"")</f>
        <v/>
      </c>
      <c r="K198" s="3" t="str">
        <f t="shared" ca="1" si="18"/>
        <v/>
      </c>
      <c r="L198" s="3" t="str">
        <f t="shared" ca="1" si="19"/>
        <v/>
      </c>
      <c r="M198" s="4" t="str">
        <f t="shared" ca="1" si="20"/>
        <v/>
      </c>
    </row>
    <row r="199" spans="4:13">
      <c r="D199" s="3"/>
      <c r="E199" s="3"/>
      <c r="F199" s="3"/>
      <c r="G199" s="3"/>
      <c r="H199" s="3"/>
      <c r="J199" s="3" t="str">
        <f ca="1">IFERROR(_xludf.XLOOKUP(B199,PRODUCT_MASTER!C2,PRODUCT_MASTER!C6),"")</f>
        <v/>
      </c>
      <c r="K199" s="3" t="str">
        <f t="shared" ca="1" si="18"/>
        <v/>
      </c>
      <c r="L199" s="3" t="str">
        <f t="shared" ca="1" si="19"/>
        <v/>
      </c>
      <c r="M199" s="4" t="str">
        <f t="shared" ca="1" si="20"/>
        <v/>
      </c>
    </row>
    <row r="200" spans="4:13">
      <c r="D200" s="3"/>
      <c r="E200" s="3"/>
      <c r="F200" s="3"/>
      <c r="G200" s="3"/>
      <c r="H200" s="3"/>
      <c r="J200" s="3" t="str">
        <f ca="1">IFERROR(_xludf.XLOOKUP(B200,PRODUCT_MASTER!C2,PRODUCT_MASTER!C6),"")</f>
        <v/>
      </c>
      <c r="K200" s="3" t="str">
        <f t="shared" ca="1" si="18"/>
        <v/>
      </c>
      <c r="L200" s="3" t="str">
        <f t="shared" ca="1" si="19"/>
        <v/>
      </c>
      <c r="M200" s="4" t="str">
        <f t="shared" ca="1" si="20"/>
        <v/>
      </c>
    </row>
  </sheetData>
  <mergeCells count="1">
    <mergeCell ref="O1:U1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PRODUCT_MASTER</vt:lpstr>
      <vt:lpstr>README</vt:lpstr>
      <vt:lpstr>REPORT_TEMPLATE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 UP</dc:creator>
  <cp:lastModifiedBy>김 도현</cp:lastModifiedBy>
  <dcterms:created xsi:type="dcterms:W3CDTF">2026-05-27T03:38:18Z</dcterms:created>
  <dcterms:modified xsi:type="dcterms:W3CDTF">2026-06-29T08:04:16Z</dcterms:modified>
</cp:coreProperties>
</file>